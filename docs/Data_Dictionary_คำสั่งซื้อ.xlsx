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ada.p\Dealer MKP Platform\docs\"/>
    </mc:Choice>
  </mc:AlternateContent>
  <xr:revisionPtr revIDLastSave="0" documentId="13_ncr:1_{3BA0D71B-3A87-4CFF-AA09-285C3141DE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ภาพรวม" sheetId="1" r:id="rId1"/>
    <sheet name="Data Dictionary" sheetId="2" r:id="rId2"/>
    <sheet name="หลังสกรีน 63 คอลัมน์" sheetId="3" r:id="rId3"/>
    <sheet name="ค่าที่เป็นไปได้ ชั้น 2" sheetId="4" r:id="rId4"/>
    <sheet name="ข้อควรระวัง" sheetId="5" r:id="rId5"/>
    <sheet name="2 ระบบต่อกันยังไง" sheetId="6" r:id="rId6"/>
    <sheet name="รายชื่อร้าน" sheetId="7" r:id="rId7"/>
    <sheet name="ค่าที่เป็นไปได้" sheetId="8" r:id="rId8"/>
    <sheet name="คีย์และ schema" sheetId="9" r:id="rId9"/>
    <sheet name="คำตอบจากฝั่งฐานข้อมูล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B21" i="1"/>
  <c r="B20" i="1"/>
  <c r="B19" i="1"/>
  <c r="B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Data Team</author>
  </authors>
  <commentList>
    <comment ref="B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ต้องเก็บเป็น TEXT เท่านั้น
TikTok ใช้เลข 19 หลัก ถ้ารับเป็นตัวเลข
ระบบจะปัดหลักท้ายทิ้งโดยไม่มี error</t>
        </r>
      </text>
    </comment>
    <comment ref="B1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ต้องเก็บเป็น TEXT เท่านั้น
TikTok ใช้เลข 19 หลัก ถ้ารับเป็นตัวเลข
ระบบจะปัดหลักท้ายทิ้งโดยไม่มี error</t>
        </r>
      </text>
    </comment>
    <comment ref="B2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ต้องเก็บเป็น TEXT เท่านั้น
TikTok ใช้เลข 19 หลัก ถ้ารับเป็นตัวเลข
ระบบจะปัดหลักท้ายทิ้งโดยไม่มี error</t>
        </r>
      </text>
    </comment>
  </commentList>
</comments>
</file>

<file path=xl/sharedStrings.xml><?xml version="1.0" encoding="utf-8"?>
<sst xmlns="http://schemas.openxmlformats.org/spreadsheetml/2006/main" count="973" uniqueCount="608">
  <si>
    <t>Data Dictionary — ข้อมูลคำสั่งซื้อร้านค้าออนไลน์</t>
  </si>
  <si>
    <t>ทุกตัวเลข % วัดจากข้อมูลจริง 660,181 แถว (ม.ค.–ก.ค. 2026) ไม่ใช่ค่าที่คาดเดา · ปรับตามคำตอบจากฝั่งฐานข้อมูล 2026-08-10</t>
  </si>
  <si>
    <t>เจ้าของข้อมูล</t>
  </si>
  <si>
    <t>ทีม Marketplace</t>
  </si>
  <si>
    <t>แหล่งที่มา</t>
  </si>
  <si>
    <t>หลังบ้านร้านค้าของเราเอง — Lazada / TikTok Shop / Shopee Seller Centre</t>
  </si>
  <si>
    <t>ขอบเขต</t>
  </si>
  <si>
    <t>13 หน้าร้าน · 9 ชื่อร้าน · 3 แพลตฟอร์ม</t>
  </si>
  <si>
    <t>ความถี่</t>
  </si>
  <si>
    <t>รายวัน 08:30 น. ดึงข้อมูลของเมื่อวาน</t>
  </si>
  <si>
    <t>Time zone</t>
  </si>
  <si>
    <t>Asia/Bangkok ทุกคอลัมน์เวลา (ไม่มี timezone offset ต่อท้าย)</t>
  </si>
  <si>
    <t>สกุลเงิน</t>
  </si>
  <si>
    <t>บาท (THB) ทุกคอลัมน์เงิน</t>
  </si>
  <si>
    <t>รูปแบบส่งมอบ</t>
  </si>
  <si>
    <t>Excel .xlsx — sheet ชื่อ Orders</t>
  </si>
  <si>
    <t>จำนวนคอลัมน์</t>
  </si>
  <si>
    <t>Grain (1 แถวคืออะไร)</t>
  </si>
  <si>
    <t>1 รายการสินค้าในออเดอร์ (order line) — ไม่ใช่ 1 ออเดอร์</t>
  </si>
  <si>
    <t>การปกปิดข้อมูลส่วนบุคคล</t>
  </si>
  <si>
    <t>เปิดใช้ (include_pii = false) — ไม่มีชื่อ-นามสกุล เบอร์โทร ที่อยู่</t>
  </si>
  <si>
    <t>ปลายทางที่ตกลงกัน</t>
  </si>
  <si>
    <t>Postgres — ส่งเป็น 2 ตาราง order_header + order_line (รอรายละเอียดการเชื่อมต่อ)</t>
  </si>
  <si>
    <t>ช่วงข้อมูลที่ตกลงกัน</t>
  </si>
  <si>
    <t>1 ม.ค. 2026 ถึง D-1 (เมื่อวาน) และต่อเนื่องทุกวัน</t>
  </si>
  <si>
    <t>สรุปความพร้อมของคอลัมน์</t>
  </si>
  <si>
    <t>สถานะ</t>
  </si>
  <si>
    <t>ใช้ได้ทุกแพลตฟอร์ม</t>
  </si>
  <si>
    <t>มีบ้างไม่มีบ้าง</t>
  </si>
  <si>
    <t>ขาดบางแพลตฟอร์ม</t>
  </si>
  <si>
    <t>ยังไม่มีข้อมูลเลย</t>
  </si>
  <si>
    <t>รวม</t>
  </si>
  <si>
    <t>Data Dictionary — 32 คอลัมน์ เรียงตามลำดับในไฟล์</t>
  </si>
  <si>
    <t>คอลัมน์ % = สัดส่วนแถวที่มีค่าจริง วัดจากข้อมูลจริง · 0% = ว่างทั้งแพลตฟอร์มนั้น ไม่ใช่ข้อมูลหาย</t>
  </si>
  <si>
    <t>#</t>
  </si>
  <si>
    <t>คอลัมน์</t>
  </si>
  <si>
    <t>ชนิดข้อมูล</t>
  </si>
  <si>
    <t>Null ได้</t>
  </si>
  <si>
    <t>กลุ่ม</t>
  </si>
  <si>
    <t>คำอธิบาย</t>
  </si>
  <si>
    <t>Lazada</t>
  </si>
  <si>
    <t>TikTok</t>
  </si>
  <si>
    <t>Shopee</t>
  </si>
  <si>
    <t>หมายเหตุสำคัญ</t>
  </si>
  <si>
    <t>order_id</t>
  </si>
  <si>
    <t>VARCHAR(64)</t>
  </si>
  <si>
    <t>ไม่</t>
  </si>
  <si>
    <t>ตัวตน</t>
  </si>
  <si>
    <t>เลขออเดอร์จากแพลตฟอร์ม</t>
  </si>
  <si>
    <t>ครบทุกแถว</t>
  </si>
  <si>
    <t>ต้องเป็น TEXT เท่านั้น — TikTok ใช้เลข 19 หลัก ถ้ารับเป็นตัวเลขจะโดนปัดหลักท้ายแบบเงียบ ๆ</t>
  </si>
  <si>
    <t>platform</t>
  </si>
  <si>
    <t>VARCHAR(16)</t>
  </si>
  <si>
    <t>แพลตฟอร์ม</t>
  </si>
  <si>
    <t>ค่าที่เป็นไปได้: lazada / tiktok / shopee</t>
  </si>
  <si>
    <t>shop_id</t>
  </si>
  <si>
    <t>VARCHAR(32)</t>
  </si>
  <si>
    <t>รหัสหน้าร้านในระบบเรา เช่น shopee_03</t>
  </si>
  <si>
    <t>shop_name</t>
  </si>
  <si>
    <t>VARCHAR(128)</t>
  </si>
  <si>
    <t>ชื่อร้านมาตรฐาน</t>
  </si>
  <si>
    <t>1 ชื่อร้านมีได้หลาย shop_id — ดูชีท 'รายชื่อร้าน'</t>
  </si>
  <si>
    <t>order_created_at</t>
  </si>
  <si>
    <t>DATETIME</t>
  </si>
  <si>
    <t>เวลา</t>
  </si>
  <si>
    <t>เวลาที่สร้างออเดอร์</t>
  </si>
  <si>
    <t>ใช้คอลัมน์นี้แบ่งช่วงเวลาในรายงาน</t>
  </si>
  <si>
    <t>order_updated_at</t>
  </si>
  <si>
    <t>ได้</t>
  </si>
  <si>
    <t>เวลาที่แก้ล่าสุด</t>
  </si>
  <si>
    <t>paid_at</t>
  </si>
  <si>
    <t>เวลาชำระเงิน</t>
  </si>
  <si>
    <t>Lazada ไม่มีข้อมูลนี้</t>
  </si>
  <si>
    <t>status_raw</t>
  </si>
  <si>
    <t>ค่าสถานะดิบจากแพลตฟอร์ม</t>
  </si>
  <si>
    <t>คนละคำในแต่ละเจ้า เก็บไว้ย้อนตรวจว่า map ถูกไหม</t>
  </si>
  <si>
    <t>order_status</t>
  </si>
  <si>
    <t>สถานะกลางที่แปลงแล้ว</t>
  </si>
  <si>
    <t>ดูค่าที่เป็นไปได้ในชีท 'ค่าที่เป็นไปได้'</t>
  </si>
  <si>
    <t>payment_method</t>
  </si>
  <si>
    <t>วิธีชำระเงิน เช่น COD, SPayLater</t>
  </si>
  <si>
    <t>sku</t>
  </si>
  <si>
    <t>สินค้า</t>
  </si>
  <si>
    <t>รหัสสินค้าของผู้ขาย</t>
  </si>
  <si>
    <t>ต้องเป็น TEXT / ว่างได้ประมาณ 3% ซึ่งกระทบการใช้เป็นคีย์</t>
  </si>
  <si>
    <t>product_name</t>
  </si>
  <si>
    <t>VARCHAR(512)</t>
  </si>
  <si>
    <t>ชื่อสินค้า</t>
  </si>
  <si>
    <t>variation</t>
  </si>
  <si>
    <t>VARCHAR(256)</t>
  </si>
  <si>
    <t>ตัวเลือกสินค้า เช่น สี/ขนาด</t>
  </si>
  <si>
    <t>quantity</t>
  </si>
  <si>
    <t>INT</t>
  </si>
  <si>
    <t>จำนวนชิ้น</t>
  </si>
  <si>
    <t>Lazada ไม่มีคอลัมน์นี้ในไฟล์ต้นทาง ระบบยุบ 1 แถวต่อชิ้นให้แล้ว</t>
  </si>
  <si>
    <t>item_price</t>
  </si>
  <si>
    <t>DECIMAL(12,2)</t>
  </si>
  <si>
    <t>เงิน-สินค้า</t>
  </si>
  <si>
    <t>ราคาต่อรายการ</t>
  </si>
  <si>
    <t>item_discount</t>
  </si>
  <si>
    <t>ส่วนลดระดับรายการ</t>
  </si>
  <si>
    <t>ยังไม่มีข้อมูล</t>
  </si>
  <si>
    <t>ว่างทุกแพลตฟอร์ม — ไม่มีในรายงานต้นทาง</t>
  </si>
  <si>
    <t>seller_discount</t>
  </si>
  <si>
    <t>ส่วนลดที่ร้านออกเอง</t>
  </si>
  <si>
    <t>Lazada มีน้อยมาก (2%)</t>
  </si>
  <si>
    <t>platform_discount</t>
  </si>
  <si>
    <t>ส่วนลดที่แพลตฟอร์มออก</t>
  </si>
  <si>
    <t>shipping_fee</t>
  </si>
  <si>
    <t>ขนส่ง</t>
  </si>
  <si>
    <t>ค่าส่ง (ระดับออเดอร์)</t>
  </si>
  <si>
    <t>เป็นค่าของทั้งออเดอร์ ซ้ำทุกแถวในออเดอร์เดียวกัน</t>
  </si>
  <si>
    <t>shipping_carrier</t>
  </si>
  <si>
    <t>ผู้ให้บริการขนส่ง</t>
  </si>
  <si>
    <t>tracking_no</t>
  </si>
  <si>
    <t>เลขพัสดุ</t>
  </si>
  <si>
    <t>ต้องเป็น TEXT / ว่างเมื่อยังไม่ได้จัดส่ง</t>
  </si>
  <si>
    <t>commission_fee</t>
  </si>
  <si>
    <t>ค่าธรรมเนียม</t>
  </si>
  <si>
    <t>ค่าคอมมิชชั่น</t>
  </si>
  <si>
    <t>ยังไม่มีข้อมูล — อยู่ในเมนูการเงินซึ่งยังไม่ได้รับอนุญาตให้เข้าถึง</t>
  </si>
  <si>
    <t>transaction_fee</t>
  </si>
  <si>
    <t>ค่าธรรมเนียมธุรกรรม</t>
  </si>
  <si>
    <t>ยังไม่มีข้อมูล เหตุผลเดียวกับ commission_fee</t>
  </si>
  <si>
    <t>service_fee</t>
  </si>
  <si>
    <t>ค่าบริการ</t>
  </si>
  <si>
    <t>total_amount</t>
  </si>
  <si>
    <t>เงิน-ออเดอร์</t>
  </si>
  <si>
    <t>ยอดที่ลูกค้าจ่าย (ทั้งออเดอร์)</t>
  </si>
  <si>
    <t>ห้าม SUM ตรง ๆ จะได้ยอดเกินจริง เพราะซ้ำทุกแถวในออเดอร์ — ดูชีท 'ข้อควรระวัง'</t>
  </si>
  <si>
    <t>settlement_amount</t>
  </si>
  <si>
    <t>ยอดที่ร้านได้รับจริง</t>
  </si>
  <si>
    <t>ยังไม่มีข้อมูล — ห้ามนำไปคำนวณกำไร</t>
  </si>
  <si>
    <t>buyer_username</t>
  </si>
  <si>
    <t>ผู้ซื้อ</t>
  </si>
  <si>
    <t>ชื่อผู้ใช้ของผู้ซื้อ (ถูกปกปิดแล้ว)</t>
  </si>
  <si>
    <t>PDPA: เก็บแค่ตัวแรกกับตัวท้าย เช่น somchai123 → s********3 / Lazada ไม่มี</t>
  </si>
  <si>
    <t>province</t>
  </si>
  <si>
    <t>จังหวัดผู้รับ</t>
  </si>
  <si>
    <t>Lazada ไม่มี — อย่าทำรายงานรายจังหวัดจากข้อมูลทั้งหมด ตัวเลขจะเอียง</t>
  </si>
  <si>
    <t>cancel_reason</t>
  </si>
  <si>
    <t>ยกเลิก/คืน</t>
  </si>
  <si>
    <t>เหตุผลการยกเลิก</t>
  </si>
  <si>
    <t>ว่างเมื่อออเดอร์ไม่ถูกยกเลิก / Lazada ไม่มี</t>
  </si>
  <si>
    <t>return_status</t>
  </si>
  <si>
    <t>สถานะการคืนสินค้า</t>
  </si>
  <si>
    <t>Lazada ไม่มี</t>
  </si>
  <si>
    <t>notes</t>
  </si>
  <si>
    <t>meta</t>
  </si>
  <si>
    <t>เหตุผลที่บางคอลัมน์ว่าง</t>
  </si>
  <si>
    <t>กฎของระบบคือห้ามสร้างตัวเลขขึ้นเอง ไม่มีข้อมูลจะเว้นว่างแล้วเขียนเหตุผลที่นี่</t>
  </si>
  <si>
    <t>fetched_at</t>
  </si>
  <si>
    <t>เวลาที่ระบบดึงข้อมูล</t>
  </si>
  <si>
    <t>ไม่ใช่เวลาของออเดอร์</t>
  </si>
  <si>
    <t>ชั้นที่ 2 — ไฟล์หลังสกรีน SKU (63 คอลัมน์) = ของที่ส่งมอบจริง</t>
  </si>
  <si>
    <t>คำอธิบายอ่านสดจาก DD ของระบบ osuka-sku ตอนสร้างไฟล์นี้ ไม่ได้คัดลอกมาเก็บซ้ำ · อ่านได้ 63 คอลัมน์</t>
  </si>
  <si>
    <t>63 คอลัมน์ = 32 ของชั้นที่ 1 (ยกมาทั้งดุ้น ไม่ถูกแก้) + 31 ที่ระบบสกรีนเติมให้</t>
  </si>
  <si>
    <t>ชนิด</t>
  </si>
  <si>
    <t>มาจากชั้นไหน</t>
  </si>
  <si>
    <t>ตัวอย่าง</t>
  </si>
  <si>
    <t>TEXT</t>
  </si>
  <si>
    <t>ชั้น 1 (ดึง)</t>
  </si>
  <si>
    <t>เลขคำสั่งซื้อของแพลตฟอร์ม  ·  ยกมาจากไฟล์ต้นทางทั้งดุ้น ระบบไม่แตะ</t>
  </si>
  <si>
    <t>260611R2DGYP2E</t>
  </si>
  <si>
    <t>รหัสร้านจากไฟล์ต้นทาง  ·  ยกมาจากไฟล์ต้นทางทั้งดุ้น ระบบไม่แตะ</t>
  </si>
  <si>
    <t>TIMESTAMP</t>
  </si>
  <si>
    <t>เวลาที่สร้างคำสั่งซื้อ  ·  ยกมาจากไฟล์ต้นทางทั้งดุ้น ระบบไม่แตะ</t>
  </si>
  <si>
    <t>เวลาที่แก้ไขล่าสุด  ·  ยกมาจากไฟล์ต้นทางทั้งดุ้น ระบบไม่แตะ</t>
  </si>
  <si>
    <t>เวลาที่ชำระเงิน  ·  ยกมาจากไฟล์ต้นทางทั้งดุ้น ระบบไม่แตะ</t>
  </si>
  <si>
    <t>สถานะตามที่แพลตฟอร์มเขียนมาดิบ ๆ  ·  ยกมาจากไฟล์ต้นทางทั้งดุ้น ระบบไม่แตะ</t>
  </si>
  <si>
    <t>สำเร็จแล้ว</t>
  </si>
  <si>
    <t>สถานะที่ไฟล์ต้นทาง normalize มาแล้ว  ·  ยกมาจากไฟล์ต้นทางทั้งดุ้น ระบบไม่แตะ</t>
  </si>
  <si>
    <t>COMPLETED</t>
  </si>
  <si>
    <t>ช่องทางชำระเงิน  ·  ยกมาจากไฟล์ต้นทางทั้งดุ้น ระบบไม่แตะ</t>
  </si>
  <si>
    <t>COD</t>
  </si>
  <si>
    <t>SKU ที่ร้านกรอกเอง (dealer code)  ·  ยกมาจากไฟล์ต้นทางทั้งดุ้น ระบบไม่แตะ</t>
  </si>
  <si>
    <t>OSK0076</t>
  </si>
  <si>
    <t>ตัวเลือกสินค้าตามที่แพลตฟอร์มเก็บ  ·  ยกมาจากไฟล์ต้นทางทั้งดุ้น ระบบไม่แตะ</t>
  </si>
  <si>
    <t>ชุดพร้อมแบต 2 ก้อน</t>
  </si>
  <si>
    <t>INTEGER</t>
  </si>
  <si>
    <t>จำนวนชิ้น  ·  ยกมาจากไฟล์ต้นทางทั้งดุ้น ระบบไม่แตะ</t>
  </si>
  <si>
    <t>1</t>
  </si>
  <si>
    <t>NUMERIC</t>
  </si>
  <si>
    <t>ราคาต่อชิ้น  ·  ยกมาจากไฟล์ต้นทางทั้งดุ้น ระบบไม่แตะ</t>
  </si>
  <si>
    <t>ส่วนลดระดับรายการ  ·  ยกมาจากไฟล์ต้นทางทั้งดุ้น ระบบไม่แตะ</t>
  </si>
  <si>
    <t>ส่วนลดที่ผู้ขายออก  ·  ยกมาจากไฟล์ต้นทางทั้งดุ้น ระบบไม่แตะ</t>
  </si>
  <si>
    <t>ส่วนลดที่แพลตฟอร์มออก  ·  ยกมาจากไฟล์ต้นทางทั้งดุ้น ระบบไม่แตะ</t>
  </si>
  <si>
    <t>ค่าจัดส่ง  ·  ยกมาจากไฟล์ต้นทางทั้งดุ้น ระบบไม่แตะ</t>
  </si>
  <si>
    <t>ผู้ให้บริการขนส่ง  ·  ยกมาจากไฟล์ต้นทางทั้งดุ้น ระบบไม่แตะ</t>
  </si>
  <si>
    <t>เลขติดตามพัสดุ  ·  ยกมาจากไฟล์ต้นทางทั้งดุ้น ระบบไม่แตะ</t>
  </si>
  <si>
    <t>ค่าคอมมิชชั่น  ·  ยกมาจากไฟล์ต้นทางทั้งดุ้น ระบบไม่แตะ</t>
  </si>
  <si>
    <t>ค่าธรรมเนียมธุรกรรม  ·  ยกมาจากไฟล์ต้นทางทั้งดุ้น ระบบไม่แตะ</t>
  </si>
  <si>
    <t>ค่าบริการ  ·  ยกมาจากไฟล์ต้นทางทั้งดุ้น ระบบไม่แตะ</t>
  </si>
  <si>
    <t>ยอดรวม  ·  ยกมาจากไฟล์ต้นทางทั้งดุ้น ระบบไม่แตะ</t>
  </si>
  <si>
    <t>ยอดที่ได้รับจริง  ·  ยกมาจากไฟล์ต้นทางทั้งดุ้น ระบบไม่แตะ</t>
  </si>
  <si>
    <t>ชื่อผู้ซื้อตามที่แพลตฟอร์มให้มา  ·  ยกมาจากไฟล์ต้นทางทั้งดุ้น ระบบไม่แตะ</t>
  </si>
  <si>
    <t>จังหวัดผู้รับ  ·  ยกมาจากไฟล์ต้นทางทั้งดุ้น ระบบไม่แตะ</t>
  </si>
  <si>
    <t>เหตุผลการยกเลิก  ·  ยกมาจากไฟล์ต้นทางทั้งดุ้น ระบบไม่แตะ</t>
  </si>
  <si>
    <t>สถานะการคืนสินค้า  ·  ยกมาจากไฟล์ต้นทางทั้งดุ้น ระบบไม่แตะ</t>
  </si>
  <si>
    <t>หมายเหตุ  ·  ยกมาจากไฟล์ต้นทางทั้งดุ้น ระบบไม่แตะ</t>
  </si>
  <si>
    <t>เวลาที่ดึงข้อมูล  ·  ยกมาจากไฟล์ต้นทางทั้งดุ้น ระบบไม่แตะ</t>
  </si>
  <si>
    <t>shopee · lazada · tiktok  ·  อ่านรายแถวจากคอลัมน์ platform ของไฟล์ต้นทางถ้ามี ถ้าไม่มีจึงเดาจากชื่อไฟล์แล้วใช้ค่าเดียวทั้งไฟล์</t>
  </si>
  <si>
    <t>shopee</t>
  </si>
  <si>
    <t>ชื่อร้านจากไฟล์ต้นทาง ถ้าไม่มีใช้ชื่อไฟล์แทน</t>
  </si>
  <si>
    <t>กัปตัน เอกสตีล</t>
  </si>
  <si>
    <t>ordered_at</t>
  </si>
  <si>
    <t>ชั้น 2 (สกรีน)</t>
  </si>
  <si>
    <t>วันเวลาที่สั่งซื้อ</t>
  </si>
  <si>
    <t>extracted_at</t>
  </si>
  <si>
    <t>เว้นว่างเสมอโดยตั้งใจ — ห้ามใส่วันที่รัน เพราะกฎ 'รันซ้ำต้องได้ผลเหมือนเดิม 100%'</t>
  </si>
  <si>
    <t>(ว่าง)</t>
  </si>
  <si>
    <t>ชื่อประกาศตามที่แพลตฟอร์มเก็บ ไม่ตัดข้อความโฆษณาออก</t>
  </si>
  <si>
    <t>OSUKA เลื่อยโซ่ไร้สาย OCCS430</t>
  </si>
  <si>
    <t>is_osuka_brand</t>
  </si>
  <si>
    <t>yes · no  —  แถวนี้อยู่ในขอบเขตที่ต้องจับคู่หรือไม่</t>
  </si>
  <si>
    <t>yes</t>
  </si>
  <si>
    <t>osuka_model_code</t>
  </si>
  <si>
    <t>รหัสรุ่น เช่น OCCS430-P1  ·  Null เมื่อจับคู่ไม่ได้</t>
  </si>
  <si>
    <t>OCCS430-P1</t>
  </si>
  <si>
    <t>★ osuka_sml_id</t>
  </si>
  <si>
    <t>★ คำตอบของระบบ = รหัส SKU  ·  เป็น Null เสมอเมื่อ mapping_status ไม่ใช่ Matched</t>
  </si>
  <si>
    <t>JOSK0047</t>
  </si>
  <si>
    <t>accuracy_matching_%</t>
  </si>
  <si>
    <t>คะแนนความมั่นใจ 0–100 ตามชั้นที่จับคู่ได้ (ดูชีท vocab_match_method)  ·  ถูกกดเหลือไม่เกิน 75 เมื่อเติมค่าให้แล้วแต่ยังต้องตรวจ</t>
  </si>
  <si>
    <t>95</t>
  </si>
  <si>
    <t>product_brand</t>
  </si>
  <si>
    <t>แบรนด์ของสินค้าในแถวนี้</t>
  </si>
  <si>
    <t>OSUKA</t>
  </si>
  <si>
    <t>brand_status</t>
  </si>
  <si>
    <t>confirmed (ตรงรายชื่อแบรนด์) · detected (เดาจากข้อความ) · unknown</t>
  </si>
  <si>
    <t>confirmed</t>
  </si>
  <si>
    <t>order_mapping_accuracy_%</t>
  </si>
  <si>
    <t>ค่าเฉลี่ย accuracy ของทุกบรรทัดในออเดอร์เดียวกัน (ลูกค้าซื้อหลายชิ้นต่อออเดอร์)</t>
  </si>
  <si>
    <t>87.5</t>
  </si>
  <si>
    <t>variation_name</t>
  </si>
  <si>
    <t>ตัวเลือกที่ลูกค้าเลือกจริง</t>
  </si>
  <si>
    <t>ชุดเพิ่มแบต5Ah</t>
  </si>
  <si>
    <t>mapping_status</t>
  </si>
  <si>
    <t>Matched · Review · Unmatched  —  ตามสเปค ACCURATE AGENT ที่ตกลงกับ Beam ไว้</t>
  </si>
  <si>
    <t>Matched</t>
  </si>
  <si>
    <t>matched_by</t>
  </si>
  <si>
    <t>ชั้นที่จับคู่ได้ + เหตุผล เขียนติดกัน</t>
  </si>
  <si>
    <t>L2 · รหัสเต็มอยู่ใน variation</t>
  </si>
  <si>
    <t>match_rule</t>
  </si>
  <si>
    <t>กฎที่ทำให้ได้คำตอบ เขียนเป็นคำพูด</t>
  </si>
  <si>
    <t>รหัสเต็มอยู่ใน variation</t>
  </si>
  <si>
    <t>review_question</t>
  </si>
  <si>
    <t>คำถามที่คนต้องตอบ เว้นว่างเมื่อไม่ต้องตรวจ</t>
  </si>
  <si>
    <t>แบต 4Ah ชี้ได้ทั้ง M/E/K — ประกาศนี้ให้แบตตัวไหน</t>
  </si>
  <si>
    <t>osuka_product_name</t>
  </si>
  <si>
    <t>ชื่อสินค้าในตัวกลางของ SKU ที่จับคู่ได้ (ยกมาให้คนตรวจเห็นโดยไม่ต้อง join)</t>
  </si>
  <si>
    <t>เลื่อยโซ่ไร้สาย 11.5" OCCS430-P1 OSUKA</t>
  </si>
  <si>
    <t>candidates_if_ambiguous</t>
  </si>
  <si>
    <t>SKU ที่เป็นไปได้ คั่นด้วย |  เมื่อระบบแยกไม่ออก</t>
  </si>
  <si>
    <t>AOSK0430 (OCCHD002-A1) | AOSK0437 (OCCHD002-A2)</t>
  </si>
  <si>
    <t>product_key</t>
  </si>
  <si>
    <t>ตัวระบุสินค้าในระดับประกาศ = SKU ของร้านถ้ามี ไม่งั้นใช้ ชื่อ+ตัวเลือก (Shopee ไม่กรอก SKU ~99%)</t>
  </si>
  <si>
    <t>name_variants_seen</t>
  </si>
  <si>
    <t>จำนวนชื่อประกาศที่ต่างกันของ product_key เดียวกัน</t>
  </si>
  <si>
    <t>2</t>
  </si>
  <si>
    <t>renamed_listing</t>
  </si>
  <si>
    <t>yes เมื่อ SKU เดียวกันโผล่ภายใต้ product_key มากกว่า 1 แบบ ในร้านเดียว = ร้านเปลี่ยนชื่อประกาศกลางทาง</t>
  </si>
  <si>
    <t>no</t>
  </si>
  <si>
    <t>source_file</t>
  </si>
  <si>
    <t>ชื่อไฟล์ต้นทาง</t>
  </si>
  <si>
    <t>tiktok_tiktok_02_toolsdee1_2026-08-06.xlsx</t>
  </si>
  <si>
    <t>row_in_source</t>
  </si>
  <si>
    <t>เลขแถวใน Excel ต้นทาง (เริ่มที่ 2 เพราะแถว 1 เป็นหัวตาราง)</t>
  </si>
  <si>
    <t>195</t>
  </si>
  <si>
    <t>revenue_thb</t>
  </si>
  <si>
    <t>ยอดขายที่ยกมาจากคอลัมน์เงินของไฟล์ต้นทาง</t>
  </si>
  <si>
    <t>540.0</t>
  </si>
  <si>
    <t>order_state</t>
  </si>
  <si>
    <t>สถานะออเดอร์จากไฟล์ต้นทาง</t>
  </si>
  <si>
    <t>SHIPPED</t>
  </si>
  <si>
    <t>order_month</t>
  </si>
  <si>
    <t>YYYY-MM ตัดมาจากวันที่สั่งซื้อ</t>
  </si>
  <si>
    <t>2026-08</t>
  </si>
  <si>
    <t>match_method</t>
  </si>
  <si>
    <t>ชั้นการจับคู่ของระบบนี้ L0–L8 (ดูชีท vocab_match_method)</t>
  </si>
  <si>
    <t>L2</t>
  </si>
  <si>
    <t>match_confidence</t>
  </si>
  <si>
    <t>exact · high · medium · none</t>
  </si>
  <si>
    <t>exact</t>
  </si>
  <si>
    <t>needs_review</t>
  </si>
  <si>
    <t>TRUE · FALSE  (เก็บเป็นข้อความ ไม่ใช่ boolean)</t>
  </si>
  <si>
    <t>TRUE</t>
  </si>
  <si>
    <t>review_reason</t>
  </si>
  <si>
    <t>รหัสเหตุผล คั่นด้วย ;  (ดูชีท vocab_review_reason)</t>
  </si>
  <si>
    <t>model_has_no_battery_dimension;ambiguous_variant</t>
  </si>
  <si>
    <t>match_status</t>
  </si>
  <si>
    <t>matched · unmatched · out_of_scope · shop_made_set · matched_other_brand</t>
  </si>
  <si>
    <t>matched</t>
  </si>
  <si>
    <t>mapping_status_detail</t>
  </si>
  <si>
    <t>สถานะละเอียดตาม Status Dictionary (ดูชีท vocab_mapping_status)  ·  คำแรกก่อน ' — ' ตรงกับ mapping_status เสมอ</t>
  </si>
  <si>
    <t>Review — Multiple SKU</t>
  </si>
  <si>
    <t>brand_raw</t>
  </si>
  <si>
    <t>คำที่ระบบเดาว่าเป็นแบรนด์จากข้อความ ก่อนเทียบรายชื่อจริง</t>
  </si>
  <si>
    <t>TOTAL</t>
  </si>
  <si>
    <t>แถวสีเขียว = 31 คอลัมน์ที่ระบบสกรีนเติมให้ · แถวขาว = 32 คอลัมน์ที่ยกมาจากชั้นที่ 1</t>
  </si>
  <si>
    <t>ค่าที่เป็นไปได้ของคอลัมน์ที่ระบบสกรีนเติม</t>
  </si>
  <si>
    <t>อ่านสดจาก DD ของ osuka-sku เช่นกัน</t>
  </si>
  <si>
    <t>ค่า</t>
  </si>
  <si>
    <t>ความหมาย</t>
  </si>
  <si>
    <t>L0</t>
  </si>
  <si>
    <t>คนตรวจแล้ว (rules/overrides.csv) — ชนะทุกกฎ</t>
  </si>
  <si>
    <t>L1</t>
  </si>
  <si>
    <t>ประกอบรหัสจาก variation แล้วเจอใน master</t>
  </si>
  <si>
    <t>L3</t>
  </si>
  <si>
    <t>รู้รุ่นกับธงมีแบต แล้ว master เหลือตัวเดียว</t>
  </si>
  <si>
    <t>L4</t>
  </si>
  <si>
    <t>variation บอกเลขรุ่น แล้วรวมกับ prefix จากชื่อสินค้า</t>
  </si>
  <si>
    <t>L5</t>
  </si>
  <si>
    <t>ตัดสินจากชื่อสินค้า</t>
  </si>
  <si>
    <t>L6</t>
  </si>
  <si>
    <t>แยกไม่ออก ต้องให้คนตัดสิน — ไม่มี SKU</t>
  </si>
  <si>
    <t>L7</t>
  </si>
  <si>
    <t>รหัสอยู่ในช่อง SKU ของร้าน</t>
  </si>
  <si>
    <t>L8</t>
  </si>
  <si>
    <t>เทียบชื่อสินค้ากับแคตตาล็อก / จับก้อนแบตจาก spec</t>
  </si>
  <si>
    <t>ยืนยัน SKU ได้ ไม่ต้องให้คนตรวจ</t>
  </si>
  <si>
    <t>Review — Multiple Models</t>
  </si>
  <si>
    <t>ประกาศเอ่ยหลายรุ่น และ variation แยกไม่ได้</t>
  </si>
  <si>
    <t>รุ่นชัดแล้ว แต่ตัวกลางมีหลาย SKU ต้องใช้ชุดสินค้า/แบต/จำนวนก้อนช่วยแยก</t>
  </si>
  <si>
    <t>Review — Insufficient Information</t>
  </si>
  <si>
    <t>เติมค่าให้แล้วแต่ตัดสินจากแหล่งเดียว ยังไม่มีหลักฐานยืนยันซ้ำ — ขอให้คนยืนยัน</t>
  </si>
  <si>
    <t>Unmatched — Not Found in Master</t>
  </si>
  <si>
    <t>ไม่พบสินค้าในตัวกลาง หรือประกาศไม่ได้ใส่รหัสรุ่นเลย</t>
  </si>
  <si>
    <t>(เว้นว่าง)</t>
  </si>
  <si>
    <t>แถวแบรนด์อื่น — Status Dictionary ครอบเฉพาะการ mapping ของ OSUKA</t>
  </si>
  <si>
    <t>Review — Short Model Code</t>
  </si>
  <si>
    <t>⚠ ยังไม่ยิง — ต้องทำการขยายรหัสย่อเป็นรหัสเต็มก่อน</t>
  </si>
  <si>
    <t>Review — Spec Match</t>
  </si>
  <si>
    <t>⚠ ยังไม่ยิง — ทำแล้วเฉพาะก้อนแบตเดี่ยว แต่ไปนับรวมเป็น Review — Insufficient Information</t>
  </si>
  <si>
    <t>Review — Dealer Code Incorrect</t>
  </si>
  <si>
    <t>⚠ ยังไม่ยิง — ยังไม่แยกรหัสร้านที่สะกดผิด ออกจากสินค้าที่ไม่มีจริง</t>
  </si>
  <si>
    <t>Review — Variation Not Informative</t>
  </si>
  <si>
    <t>⚠ ยังไม่ยิง — แถวพวกนี้ mapping_status เป็น Unmatched อยู่ จะให้ขึ้นเป็น Review ต้องเปลี่ยนความหมายของ field ที่ตกลงกับ Beam</t>
  </si>
  <si>
    <t>Confirmed Unmatched</t>
  </si>
  <si>
    <t>⚠ ไม่มีในระบบนี้ — mp_sku_mapping มีค่านี้ แต่เรายังไม่มี</t>
  </si>
  <si>
    <t>no_model_code_found</t>
  </si>
  <si>
    <t>ชื่อสินค้าและ variation ไม่มีรหัสรุ่นเลย → ต้องไปแก้ที่การตั้งชื่อประกาศของร้าน</t>
  </si>
  <si>
    <t>model_not_in_master</t>
  </si>
  <si>
    <t>พบรหัสรุ่นในข้อความ แต่ตัวกลางไม่มีรหัสนี้ → ต้องไปเพิ่มสินค้าเข้าตัวกลาง</t>
  </si>
  <si>
    <t>ambiguous_4ah</t>
  </si>
  <si>
    <t>แบต 4Ah ชี้ได้ทั้ง M (Ultra Cell+) / E (Supreme) / K (Tabless) และประกาศไม่ได้บอกตระกูล</t>
  </si>
  <si>
    <t>ambiguous_variant</t>
  </si>
  <si>
    <t>รุ่นย่อยเสมอกัน เลือกไม่ได้</t>
  </si>
  <si>
    <t>ambiguous_combo_set</t>
  </si>
  <si>
    <t>ชุดส่วนประกอบตรงกันหลายเซ็ต</t>
  </si>
  <si>
    <t>model_has_no_battery_dimension</t>
  </si>
  <si>
    <t>รหัสรุ่นไม่ได้เข้ารหัสข้อมูลแบต จึงใช้แบตแยกรุ่นย่อยไม่ได้</t>
  </si>
  <si>
    <t>no_matching_variant_in_master</t>
  </si>
  <si>
    <t>รุ่นมีในตัวกลาง แต่ไม่มีรุ่นย่อยที่ตรงเงื่อนไข</t>
  </si>
  <si>
    <t>qty_not_specified</t>
  </si>
  <si>
    <t>ไม่ได้บอกจำนวนก้อนแบต</t>
  </si>
  <si>
    <t>qty_not_in_master</t>
  </si>
  <si>
    <t>จำนวนก้อนที่ประกาศบอก ไม่มีในตัวกลาง</t>
  </si>
  <si>
    <t>duplicate_sku_in_master</t>
  </si>
  <si>
    <t>รหัสรุ่นชัดแล้ว แต่ตัวกลางมีหลาย SKU</t>
  </si>
  <si>
    <t>cross_model_mismatch</t>
  </si>
  <si>
    <t>variation กับชื่อสินค้าบอกคนละรุ่น — ระบบยึด variation</t>
  </si>
  <si>
    <t>multiple_models_in_product_name</t>
  </si>
  <si>
    <t>ชื่อประกาศเอ่ยหลายรุ่น</t>
  </si>
  <si>
    <t>multiple_models_in_seller_sku</t>
  </si>
  <si>
    <t>SKU ของร้านมีหลายรุ่น</t>
  </si>
  <si>
    <t>multiple_models_in_variation_numeric</t>
  </si>
  <si>
    <t>variation บอกเลขรุ่นหลายตัว</t>
  </si>
  <si>
    <t>battery_flag_conflict</t>
  </si>
  <si>
    <t>variation บอกทั้ง 'มีแบต' และ 'ไม่มีแบต'</t>
  </si>
  <si>
    <t>unknown_battery_size_&lt;n&gt;ah</t>
  </si>
  <si>
    <t>ขนาดแบตที่ไม่มีอักษรกำกับ (3/6/9/10/12/15Ah) = ไม่มีขายพ่วงเครื่อง</t>
  </si>
  <si>
    <t>shop_made_set</t>
  </si>
  <si>
    <t>ร้านจัดเซ็ตเอง ไม่มี SKU รองรับ — ไม่ใช่ความผิดพลาด</t>
  </si>
  <si>
    <t>confidence_exact / high / medium</t>
  </si>
  <si>
    <t>ระดับความมั่นใจ ติดมากับทุกแถวที่เติมค่าได้</t>
  </si>
  <si>
    <t>confirmed_by_&lt;n&gt;_sources</t>
  </si>
  <si>
    <t>มี n แหล่งยืนยันรหัสเต็มตัวเดียวกัน → เลื่อนขึ้นเป็น exact</t>
  </si>
  <si>
    <t>matched_by_sku</t>
  </si>
  <si>
    <t>จับคู่จากช่อง SKU ของร้าน</t>
  </si>
  <si>
    <t>matched_by_product_name</t>
  </si>
  <si>
    <t>จับคู่จากการเทียบชื่อสินค้ากับแคตตาล็อก</t>
  </si>
  <si>
    <t>matched_by_keyword</t>
  </si>
  <si>
    <t>จับคู่ด้วยคำใน variation (rules/variation_keywords.csv)</t>
  </si>
  <si>
    <t>matched_by_attribute</t>
  </si>
  <si>
    <t>จับคู่ด้วยค่าคุณสมบัติ เช่น ขนาด/จำนวนชิ้น</t>
  </si>
  <si>
    <t>matched_battery_by_spec</t>
  </si>
  <si>
    <t>ก้อนแบตเดี่ยว จับจากตระกูล + แรงดัน + ขนาด</t>
  </si>
  <si>
    <t>matched_as_spare_part</t>
  </si>
  <si>
    <t>ประกาศขายอะไหล่ และจับได้ว่าเป็นอะไหล่ตัวไหน</t>
  </si>
  <si>
    <t>spare_part_filtered</t>
  </si>
  <si>
    <t>ประกาศไม่ได้ขายอะไหล่ จึงตัด SKU อะไหล่ออกจากตัวเลือก</t>
  </si>
  <si>
    <t>battery_assumed_from_master</t>
  </si>
  <si>
    <t>ข้อมูลแบตมาจากตัวกลาง ไม่ได้มาจากประกาศ → กดความมั่นใจลง</t>
  </si>
  <si>
    <t>ข้อควรระวัง — อ่านก่อนออกแบบตารางและก่อนเขียนรายงาน</t>
  </si>
  <si>
    <t>ทุกข้อเป็นเรื่องที่ถ้าพลาดแล้วตัวเลขจะผิดโดยไม่มีอะไรเตือน</t>
  </si>
  <si>
    <t>หัวข้อ</t>
  </si>
  <si>
    <t>รายละเอียด</t>
  </si>
  <si>
    <t>สิ่งที่ต้องทำ</t>
  </si>
  <si>
    <t>1 แถว = 1 สินค้า ไม่ใช่ 1 ออเดอร์</t>
  </si>
  <si>
    <t>ออเดอร์ที่ซื้อ 3 สินค้าจะมี 3 แถว ใช้ order_id เดียวกัน คอลัมน์ระดับออเดอร์ (total_amount, shipping_fee, payment_method, province, buyer_username) จะซ้ำในทุกแถวของออเดอร์นั้น</t>
  </si>
  <si>
    <t>ห้าม SUM(total_amount) ตรง ๆ จะได้ยอดเกินจริงตามจำนวนสินค้า ต้องยุบเป็นระดับออเดอร์ก่อน หรือใช้ค่าเฉพาะแถวแรกของแต่ละ order_id</t>
  </si>
  <si>
    <t>order_id ต้องเป็น TEXT</t>
  </si>
  <si>
    <t>TikTok ใช้เลข 19 หลัก ซึ่งเกินช่วงของจำนวนเต็ม 64 บิตที่ระบบส่วนใหญ่ใช้ปลอดภัย ถ้ารับเป็นตัวเลข หลักท้ายจะถูกปัดทิ้งโดยไม่มี error</t>
  </si>
  <si>
    <t>ประกาศเป็น VARCHAR ทั้ง order_id, sku, tracking_no และห้ามให้ตัวนำเข้าเดาชนิดเอง</t>
  </si>
  <si>
    <t>ข้อความ 'Null' ไม่ใช่ NULL จริง</t>
  </si>
  <si>
    <t>ในไฟล์ Excel ค่าว่างบางช่องถูกเขียนเป็นข้อความ Null (4 ตัวอักษร)</t>
  </si>
  <si>
    <t>ตอน import ต้องแปลงข้อความ 'Null' เป็น NULL จริง ไม่งั้น IS NULL ใช้ไม่ได้</t>
  </si>
  <si>
    <t>1 ชื่อร้าน มีได้หลาย shop_id</t>
  </si>
  <si>
    <t>ร้านเดียวกันขายหลายแพลตฟอร์ม ระบบแปลงชื่อให้เป็นชื่อมาตรฐานเดียวกันแล้ว เช่น powerstool (TikTok) กับ Powerstools (Shopee) กลายเป็น Powerstools ทั้งคู่</t>
  </si>
  <si>
    <t>GROUP BY shop_name = ยอดของร้านจริง / GROUP BY shop_id = ยอดของแต่ละหน้าร้าน เลือกให้ตรงกับคำถามที่จะตอบ</t>
  </si>
  <si>
    <t>Lazada ไม่มีจังหวัด</t>
  </si>
  <si>
    <t>province ถูกแพลตฟอร์มปิดบังมาตั้งแต่ต้นทาง ดึงมาไม่ได้</t>
  </si>
  <si>
    <t>อย่าทำรายงานยอดขายรายจังหวัดจากข้อมูลทั้งหมด ต้องกรอง platform &lt;&gt; 'lazada' แล้วระบุในรายงานว่าไม่รวม Lazada</t>
  </si>
  <si>
    <t>ยังไม่มีค่าธรรมเนียมและ settlement</t>
  </si>
  <si>
    <t>commission_fee, transaction_fee, service_fee, settlement_amount ว่าง 0% ทุกแพลตฟอร์ม ข้อมูลอยู่ในเมนูการเงินซึ่งยังไม่ได้รับอนุญาตให้เข้าถึง</t>
  </si>
  <si>
    <t>สร้างคอลัมน์ไว้ได้เพื่อไม่ต้องแก้ schema ภายหลัง แต่ห้ามนำไปคำนวณกำไรจนกว่าจะมีข้อมูลจริง</t>
  </si>
  <si>
    <t>สถานะออเดอร์เปลี่ยนได้หลังดึง</t>
  </si>
  <si>
    <t>ออเดอร์ที่ดึงวันนี้อาจถูกยกเลิกหรือเปลี่ยนเป็นส่งสำเร็จในภายหลัง ข้อมูลที่ดึงไปแล้วจะไม่ถูกอัปเดตย้อนหลังอัตโนมัติ</t>
  </si>
  <si>
    <t>ทำ upsert ด้วย (platform, order_id, sku) ไม่ใช่ insert อย่างเดียว จะได้รองรับการดึงซ้ำเพื่ออัปเดตสถานะโดยไม่เกิดข้อมูลซ้ำ</t>
  </si>
  <si>
    <t>ข้อมูลผู้ซื้อถูกปกปิดแล้ว</t>
  </si>
  <si>
    <t>buyer_username เก็บแค่ตัวแรกกับตัวท้าย เช่น somchai123 → s********3 ชื่อ-นามสกุล เบอร์โทร ที่อยู่ เลขบัตรประชาชน ถูกตัดทิ้งก่อนออกไฟล์</t>
  </si>
  <si>
    <t>ใช้จับลูกค้าซ้ำได้ แต่ระบุตัวตนไม่ได้ ถ้าต้องการข้อมูลเต็มต้องขออนุมัติเรื่อง PDPA ก่อน</t>
  </si>
  <si>
    <t>สองระบบต่อกันยังไง — และอะไรคือจุดที่กระทบกันได้</t>
  </si>
  <si>
    <t>ระบบดึงยอด (Dealer MKP Platform) + ระบบสกรีน SKU (osuka-sku) · เชื่อมอัตโนมัติ 2026-08-10</t>
  </si>
  <si>
    <t>ชั้น</t>
  </si>
  <si>
    <t>ระบบ</t>
  </si>
  <si>
    <t>ทำอะไร</t>
  </si>
  <si>
    <t>ผลลัพธ์</t>
  </si>
  <si>
    <t>เก็บที่</t>
  </si>
  <si>
    <t>ชั้น 1</t>
  </si>
  <si>
    <t>Dealer MKP Platform</t>
  </si>
  <si>
    <t>ดึงคำสั่งซื้อจากหลังบ้าน 15 ร้าน</t>
  </si>
  <si>
    <t>Excel 32 คอลัมน์ · schema กลาง</t>
  </si>
  <si>
    <t>output/&lt;วันที่&gt;/</t>
  </si>
  <si>
    <t>ชั้น 2</t>
  </si>
  <si>
    <t>osuka-sku</t>
  </si>
  <si>
    <t>เติม osuka_sml_id / osuka_model_code + 29 คอลัมน์ประกอบ</t>
  </si>
  <si>
    <t>Excel 63 คอลัมน์ ← ของส่งมอบ</t>
  </si>
  <si>
    <t>output/&lt;วันที่&gt;/screened/</t>
  </si>
  <si>
    <t>ชั้น 3</t>
  </si>
  <si>
    <t>OSUKA Super Intelligence</t>
  </si>
  <si>
    <t>ฐานข้อมูลปลายทาง schema intel</t>
  </si>
  <si>
    <t>mp_orders_raw · mp_sku_mapping</t>
  </si>
  <si>
    <t>รอรายละเอียดการเชื่อมต่อ</t>
  </si>
  <si>
    <t>สิ่งที่ทำให้ 2 ระบบไม่ชนกัน</t>
  </si>
  <si>
    <t>หลักการ</t>
  </si>
  <si>
    <t>ทำอย่างไร</t>
  </si>
  <si>
    <t>ถ้าไม่ทำจะเกิดอะไร</t>
  </si>
  <si>
    <t>แยกโฟลเดอร์ แยก repo</t>
  </si>
  <si>
    <t>ระบบดึงก๊อปไฟล์เข้า input/ ของระบบสกรีน แล้วเรียกสคริปต์ของเขา ไม่แก้โค้ดเขาแม้แต่บรรทัดเดียว ผลลัพธ์ก๊อปกลับมาเก็บฝั่งเรา</t>
  </si>
  <si>
    <t>ถ้ารวมโฟลเดอร์ตอนนี้ ต้องสร้าง .venv ใหม่ ติดตั้งงานตั้งเวลาใหม่ และเสี่ยงต้องล็อกอินใหม่ทั้ง 15 ร้าน</t>
  </si>
  <si>
    <t>ที่อยู่ปรับได้ ไม่ฝังตาย</t>
  </si>
  <si>
    <t>ระบบดึงหาระบบสกรีนจากตัวแปร OSUKA_SKU_DIR (มีค่าเริ่มต้นให้) ย้ายโฟลเดอร์เมื่อไหร่แค่เปลี่ยนค่านี้</t>
  </si>
  <si>
    <t>ฝัง path ตายตัวแล้วย้ายโฟลเดอร์ = พังเงียบ ๆ ตอนตี 8 ครึ่ง</t>
  </si>
  <si>
    <t>เอกสารอ่านจากต้นทาง ไม่คัดลอก</t>
  </si>
  <si>
    <t>ชีท 'หลังสกรีน 63 คอลัมน์' อ่านคำอธิบายสดจาก DD ของ osuka-sku ตอนสร้างไฟล์นี้</t>
  </si>
  <si>
    <t>คัดลอกมาเก็บซ้ำ = วันหนึ่งเขาแก้ของเขา ของเราค้างอยู่กับข้อมูลเก่า กลายเป็น 2 แหล่งความจริงที่ขัดกันเอง</t>
  </si>
  <si>
    <t>ขั้นสกรีนล้มไม่ได้ทำให้รอบดึงล้ม</t>
  </si>
  <si>
    <t>run_daily.ps1 ครอบ try/catch และไม่สนใจ exit code ของขั้นสกรีน อีเมลถอยไปแนบไฟล์ดิบให้อัตโนมัติ</t>
  </si>
  <si>
    <t>ดึงสำเร็จ 15 ร้านแล้วไม่ได้อะไรเลยเพราะตัวสกรีนสะดุด</t>
  </si>
  <si>
    <t>ใช้ Python ตัวเดียวกัน</t>
  </si>
  <si>
    <t>ระบบสกรีนไม่มี .venv ของตัวเอง จึงเรียกด้วย .venv ของระบบดึง ซึ่งมี pandas + openpyxl ครบตามที่ match_sku.py ต้องใช้</t>
  </si>
  <si>
    <t>ถ้าต่างคนต่างมี venv แล้วเวอร์ชันไม่ตรง จะได้ผลลัพธ์ต่างกันโดยไม่มีใครรู้</t>
  </si>
  <si>
    <t>⚠️ จุดเดียวที่ 2 ระบบผูกกันจริง</t>
  </si>
  <si>
    <t>schema 32 คอลัมน์ของชั้นที่ 1 คือ 'สัญญา' ระหว่าง 2 ระบบ</t>
  </si>
  <si>
    <t>DD ของ osuka-sku เขียนไว้เองว่า "จำนวนคอลัมน์ดิบเปลี่ยนตาม schema ของไฟล์ต้นทาง"</t>
  </si>
  <si>
    <t>แปลว่า ถ้าเราเพิ่ม/ลบ/เปลี่ยนชื่อคอลัมน์ในชั้นที่ 1 ไฟล์ 63 คอลัมน์จะเปลี่ยนตามทันที</t>
  </si>
  <si>
    <t>ตัวสกรีนต้องการจริง ๆ แค่ 3 คอลัมน์: product_name · sku · variation</t>
  </si>
  <si>
    <t>→ ถ้าจะแก้ schema ชั้นที่ 1 ต้องแจ้งฝั่ง osuka-sku ก่อน โดยเฉพาะ 3 คอลัมน์นี้</t>
  </si>
  <si>
    <t>ข้อที่ DD ของ osuka-sku เตือนไว้ แต่ไม่ใช้กับท่อนี้</t>
  </si>
  <si>
    <t>เขาเขียนว่า "buyer_username ยกมาจากไฟล์ต้นทางแบบไม่ mask — ต้องจัดการก่อนเข้าฐานข้อมูล"  ข้อนี้เป็นจริงเฉพาะตอนเขารับไฟล์ดิบจากแพลตฟอร์มโดยตรง  แต่ท่อของเราป้อนไฟล์ที่ mask มาแล้ว (include_pii = false)  ตรวจจริงกับผลลัพธ์วันที่ 2026-08-10 ทั้ง 7 ร้านที่มีค่า: mask ครบ 100% เช่น n****0 · f**********m  →  ข้อมูลที่ส่งเข้าฐานไม่มี PII</t>
  </si>
  <si>
    <t>รายชื่อร้าน — 9 ชื่อร้าน จาก 13 หน้าร้าน</t>
  </si>
  <si>
    <t>ชื่อจริงบนแพลตฟอร์มต่างจากชื่อในไฟล์ เพราะร้านเดียวกันตั้งชื่อไม่ตรงกันในแต่ละเจ้า</t>
  </si>
  <si>
    <t>shop_name (ในไฟล์)</t>
  </si>
  <si>
    <t>ชื่อจริงบนแพลตฟอร์ม</t>
  </si>
  <si>
    <t>lazada_01</t>
  </si>
  <si>
    <t>shopee_06</t>
  </si>
  <si>
    <t>Powerstools</t>
  </si>
  <si>
    <t>tiktok_01</t>
  </si>
  <si>
    <t>powerstool  ← ไม่มี s</t>
  </si>
  <si>
    <t>shopee_04</t>
  </si>
  <si>
    <t>เฮียเก๋า เครื่องมือช่างราคาถูก</t>
  </si>
  <si>
    <t>tiktok_05</t>
  </si>
  <si>
    <t>เฮียเก๋าเครื่องมือช่าง ราคาถูก  ← เว้นวรรคคนละที่</t>
  </si>
  <si>
    <t>shopee_05</t>
  </si>
  <si>
    <t>TNLTOOLSTORE</t>
  </si>
  <si>
    <t>shopee_03</t>
  </si>
  <si>
    <t>Toolspartner  ← คนละชื่อเลย</t>
  </si>
  <si>
    <t>shopee_08</t>
  </si>
  <si>
    <t>toolsdee1</t>
  </si>
  <si>
    <t>tiktok_02</t>
  </si>
  <si>
    <t>ฝ้ายการช่าง</t>
  </si>
  <si>
    <t>tiktok_03</t>
  </si>
  <si>
    <t>100อัน1000อย่าง</t>
  </si>
  <si>
    <t>tiktok_04</t>
  </si>
  <si>
    <t>100อัน1000อย่าง88  ← มี 88 ต่อท้าย</t>
  </si>
  <si>
    <t>เฮียคิมคลองถม</t>
  </si>
  <si>
    <t>shopee_01</t>
  </si>
  <si>
    <t>Smarttooltech</t>
  </si>
  <si>
    <t>shopee_02</t>
  </si>
  <si>
    <t>แถวสีเหลือง = ชื่อจริงบนแพลตฟอร์มไม่ตรงกับ shop_name ในไฟล์</t>
  </si>
  <si>
    <t>ค่าที่เป็นไปได้ของคอลัมน์ประเภทรหัส</t>
  </si>
  <si>
    <t>lazada</t>
  </si>
  <si>
    <t>Lazada Seller Center</t>
  </si>
  <si>
    <t>tiktok</t>
  </si>
  <si>
    <t>TikTok Shop Seller Center</t>
  </si>
  <si>
    <t>Shopee Seller Centre</t>
  </si>
  <si>
    <t>PENDING</t>
  </si>
  <si>
    <t>รอดำเนินการ / ยังไม่ชำระ</t>
  </si>
  <si>
    <t>READY_TO_SHIP</t>
  </si>
  <si>
    <t>พร้อมจัดส่ง</t>
  </si>
  <si>
    <t>จัดส่งแล้ว</t>
  </si>
  <si>
    <t>DELIVERED</t>
  </si>
  <si>
    <t>ส่งถึงผู้รับแล้ว</t>
  </si>
  <si>
    <t>CANCELLED</t>
  </si>
  <si>
    <t>ยกเลิก</t>
  </si>
  <si>
    <t>RETURNED</t>
  </si>
  <si>
    <t>คืนสินค้า</t>
  </si>
  <si>
    <t>UNKNOWN</t>
  </si>
  <si>
    <t>แปลงสถานะไม่ได้ — ดูค่าดิบที่คอลัมน์ status_raw</t>
  </si>
  <si>
    <t>คีย์ — ผลทดสอบกับข้อมูลจริง</t>
  </si>
  <si>
    <t>ทดสอบครบทุกแถว 660,181 แถว (ม.ค.–ก.ค. 2026) ไม่ได้สุ่มตัวอย่าง</t>
  </si>
  <si>
    <t>ผู้สมัครเป็นคีย์</t>
  </si>
  <si>
    <t>ผล</t>
  </si>
  <si>
    <t>หมายเหตุ</t>
  </si>
  <si>
    <t>❌ ใช้ไม่ได้</t>
  </si>
  <si>
    <t>ซ้ำ 73,470 แถว — 1 ออเดอร์มีหลายรายการสินค้าตาม grain</t>
  </si>
  <si>
    <t>platform + order_id</t>
  </si>
  <si>
    <t>ซ้ำ 73,470 แถว เท่ากับข้างบน (ยืนยันว่า order_id ไม่ชนกันข้ามแพลตฟอร์ม)</t>
  </si>
  <si>
    <t>platform + order_id + sku</t>
  </si>
  <si>
    <t>✅ ใช้ได้</t>
  </si>
  <si>
    <t>ไม่ซ้ำเลยทั้ง 660,181 แถว · ในกลุ่มที่ sku ว่าง 93,486 แถว ก็ไม่ชนกันสักคู่</t>
  </si>
  <si>
    <t>shop_id + order_id + sku</t>
  </si>
  <si>
    <t>ผลเท่ากับข้างบน เลือกใช้ชุดใดชุดหนึ่งได้</t>
  </si>
  <si>
    <t>โครงตาราง Postgres — แยก 2 ระดับตามที่ฝั่งฐานข้อมูลขอ</t>
  </si>
  <si>
    <t>แยกแล้วหมดปัญหายอดซ้ำจาก grain — SUM(total_amount) บน order_header ได้ยอดขายจริงทันที ไม่ต้องระวัง DISTINCT</t>
  </si>
  <si>
    <t>-- ═══ ตารางที่ 1: ระดับออเดอร์ (1 แถว = 1 ออเดอร์) ═══</t>
  </si>
  <si>
    <t>CREATE TABLE order_header (</t>
  </si>
  <si>
    <t xml:space="preserve">    order_id          VARCHAR(64)  NOT NULL,   -- TEXT เท่านั้น ห้าม BIGINT</t>
  </si>
  <si>
    <t xml:space="preserve">    platform          VARCHAR(16)  NOT NULL,   -- lazada / tiktok / shopee</t>
  </si>
  <si>
    <t xml:space="preserve">    shop_id           VARCHAR(32)  NOT NULL,   -- หน้าร้าน เช่น shopee_09</t>
  </si>
  <si>
    <t xml:space="preserve">    shop_name         VARCHAR(128) NOT NULL,   -- ชื่อมาตรฐาน 1 ชื่อมีได้หลาย shop_id</t>
  </si>
  <si>
    <t xml:space="preserve">    order_created_at  TIMESTAMP    NOT NULL,   -- Asia/Bangkok (ไม่มี offset)</t>
  </si>
  <si>
    <t xml:space="preserve">    order_updated_at  TIMESTAMP,</t>
  </si>
  <si>
    <t xml:space="preserve">    paid_at           TIMESTAMP,               -- Lazada ไม่มี</t>
  </si>
  <si>
    <t xml:space="preserve">    order_status      VARCHAR(16)  NOT NULL,   -- 7 ค่า ดูชีท 'ค่าที่เป็นไปได้'</t>
  </si>
  <si>
    <t xml:space="preserve">    status_raw        VARCHAR(64),             -- ค่าดิบไว้ย้อนตรวจการ map</t>
  </si>
  <si>
    <t xml:space="preserve">    payment_method    VARCHAR(64),</t>
  </si>
  <si>
    <t xml:space="preserve">    shipping_fee      DECIMAL(12,2),</t>
  </si>
  <si>
    <t xml:space="preserve">    shipping_carrier  VARCHAR(64),</t>
  </si>
  <si>
    <t xml:space="preserve">    tracking_no       VARCHAR(64),             -- TEXT เท่านั้น</t>
  </si>
  <si>
    <t xml:space="preserve">    total_amount      DECIMAL(12,2),           -- ยอดที่ลูกค้าจ่ายทั้งออเดอร์</t>
  </si>
  <si>
    <t xml:space="preserve">    buyer_username    VARCHAR(64),             -- ถูก mask ตาม PDPA</t>
  </si>
  <si>
    <t xml:space="preserve">    province          VARCHAR(64),             -- Lazada ไม่มี</t>
  </si>
  <si>
    <t xml:space="preserve">    cancel_reason     VARCHAR(256),</t>
  </si>
  <si>
    <t xml:space="preserve">    return_status     VARCHAR(64),</t>
  </si>
  <si>
    <t xml:space="preserve">    fetched_at        TIMESTAMP    NOT NULL,</t>
  </si>
  <si>
    <t xml:space="preserve">    PRIMARY KEY (platform, order_id)</t>
  </si>
  <si>
    <t>);</t>
  </si>
  <si>
    <t>-- ═══ ตารางที่ 2: ระดับสินค้า (1 แถว = 1 รายการในออเดอร์) ═══</t>
  </si>
  <si>
    <t>CREATE TABLE order_line (</t>
  </si>
  <si>
    <t xml:space="preserve">    id                BIGSERIAL PRIMARY KEY,</t>
  </si>
  <si>
    <t xml:space="preserve">    order_id          VARCHAR(64)  NOT NULL,</t>
  </si>
  <si>
    <t xml:space="preserve">    platform          VARCHAR(16)  NOT NULL,</t>
  </si>
  <si>
    <t xml:space="preserve">    sku               VARCHAR(128),            -- ว่างได้ ~3% (93,486 จาก 660,181)</t>
  </si>
  <si>
    <t xml:space="preserve">    product_name      VARCHAR(512),</t>
  </si>
  <si>
    <t xml:space="preserve">    variation         VARCHAR(256),</t>
  </si>
  <si>
    <t xml:space="preserve">    quantity          INT,</t>
  </si>
  <si>
    <t xml:space="preserve">    item_price        DECIMAL(12,2),</t>
  </si>
  <si>
    <t xml:space="preserve">    seller_discount   DECIMAL(12,2),</t>
  </si>
  <si>
    <t xml:space="preserve">    platform_discount DECIMAL(12,2),</t>
  </si>
  <si>
    <t xml:space="preserve">    notes             VARCHAR(512),            -- เหตุผลที่บางคอลัมน์ว่าง</t>
  </si>
  <si>
    <t xml:space="preserve">    FOREIGN KEY (platform, order_id) REFERENCES order_header (platform, order_id),</t>
  </si>
  <si>
    <t xml:space="preserve">    UNIQUE (platform, order_id, sku)           -- ทดสอบแล้วไม่ซ้ำทั้ง 660,181 แถว</t>
  </si>
  <si>
    <t>CREATE INDEX idx_hdr_created ON order_header (order_created_at);</t>
  </si>
  <si>
    <t>CREATE INDEX idx_hdr_shop    ON order_header (shop_id, order_created_at);</t>
  </si>
  <si>
    <t>CREATE INDEX idx_hdr_name    ON order_header (shop_name, order_created_at);</t>
  </si>
  <si>
    <t>CREATE INDEX idx_line_order  ON order_line   (platform, order_id);</t>
  </si>
  <si>
    <t>-- ⚠️ ไม่ใส่ commission_fee / transaction_fee / service_fee / settlement_amount</t>
  </si>
  <si>
    <t>--    ฝั่งฐานข้อมูลตอบว่า No need และเรายังไม่มีข้อมูลจริงอยู่ดี (ว่าง 0% ทุกแพลตฟอร์ม)</t>
  </si>
  <si>
    <t>--    ถ้าวันหนึ่งเปิดใช้ ให้เพิ่มเข้า order_header</t>
  </si>
  <si>
    <t>-- ⚠️ นำเข้าด้วย upsert ไม่ใช่ insert อย่างเดียว</t>
  </si>
  <si>
    <t>--    สถานะออเดอร์เปลี่ยนได้หลังดึงไปแล้ว (SHIPPED -&gt; DELIVERED / ถูกยกเลิกภายหลัง)</t>
  </si>
  <si>
    <t>--    ON CONFLICT (platform, order_id) DO UPDATE ...</t>
  </si>
  <si>
    <t>คำตอบจากฝั่งฐานข้อมูล — ได้รับ 2026-08-10</t>
  </si>
  <si>
    <t>5 ข้อนี้ตอบครบแล้ว ใช้เป็นข้อกำหนดในการส่งมอบต่อจากนี้</t>
  </si>
  <si>
    <t>คำถาม</t>
  </si>
  <si>
    <t>คำตอบที่ได้รับ</t>
  </si>
  <si>
    <t>สิ่งที่ต้องทำต่อ</t>
  </si>
  <si>
    <t>ต้องการข้อมูลย้อนหลังถึงเมื่อไหร่</t>
  </si>
  <si>
    <t>From 1 Jan 2026 till latest date D-1</t>
  </si>
  <si>
    <t>ตรงกับที่มีอยู่แล้ว — ม.ค. 2026 ถึงเมื่อวาน ไม่ต้องดึงเพิ่ม ระบบดึงของ D-1 ทุกเช้าอยู่แล้ว จึงต่อเนื่องได้เอง</t>
  </si>
  <si>
    <t>จะรับข้อมูลอย่างไร</t>
  </si>
  <si>
    <t>Export ลง Postgres โดยตรง (รายละเอียดการเชื่อมต่อจะให้ในรอบถัดไป)</t>
  </si>
  <si>
    <t>รอ host / database / schema / user จากฝั่งฐานข้อมูล แล้วเราเขียนตัวส่งเข้า Postgres — ดูโครงตารางที่ชีท 'คีย์และ schema'</t>
  </si>
  <si>
    <t>ต้องการตารางระดับออเดอร์แยกอีกตารางไหม</t>
  </si>
  <si>
    <t>Yes — ให้แยกตารางออเดอร์ออกมา</t>
  </si>
  <si>
    <t>ส่ง 2 ตาราง: order_header (1 แถว = 1 ออเดอร์) + order_line (1 แถว = 1 สินค้า) แก้ปัญหายอดซ้ำจาก grain ได้ที่ต้นทาง</t>
  </si>
  <si>
    <t>ต้องการค่าธรรมเนียมและ settlement ไหม</t>
  </si>
  <si>
    <t>No need</t>
  </si>
  <si>
    <t>ไม่ต้องขออนุญาตเข้าเมนูการเงิน — 4 คอลัมน์นั้นยังคงไว้ในตารางแต่จะเป็น NULL เสมอ หรือจะตัดออกก็ได้ถ้าฝั่งฐานข้อมูลต้องการ</t>
  </si>
  <si>
    <t>ต้องการข้อมูลผู้ซื้อแบบไม่ปกปิดไหม</t>
  </si>
  <si>
    <t>No need — ให้ทำตาม PDPA ปกปิด PII ต่อไป</t>
  </si>
  <si>
    <t>คงค่า include_pii = false ไว้เหมือนเดิม buyer_username ยังถูก mask · ไม่มีชื่อ-เบอร์-ที่อยู่ในข้อมูลที่ส่ง</t>
  </si>
  <si>
    <t>ช่องสีเขียว = คำตอบที่ได้รับจากฝั่งฐานข้อมูล 2026-08-10</t>
  </si>
  <si>
    <t>ยังต้องรออีก 1 อย่าง</t>
  </si>
  <si>
    <t>รายละเอียดการเชื่อมต่อ Postgres (host / port / database / schema / user / วิธียืนยันตัวตน) — ยังส่งข้อมูลเข้าฐานไม่ได้จนกว่าจะได้ครบ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</si>
</sst>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Arial"/>
    </font>
    <font>
      <i/>
      <sz val="9"/>
      <color rgb="FF595959"/>
      <name val="Arial"/>
    </font>
    <font>
      <b/>
      <sz val="10"/>
      <name val="Arial"/>
    </font>
    <font>
      <sz val="10"/>
      <name val="Arial"/>
    </font>
    <font>
      <b/>
      <sz val="11"/>
      <color rgb="FF1F3864"/>
      <name val="Arial"/>
    </font>
    <font>
      <b/>
      <sz val="10"/>
      <color rgb="FFFFFFFF"/>
      <name val="Arial"/>
    </font>
    <font>
      <b/>
      <sz val="13"/>
      <color rgb="FF1F3864"/>
      <name val="Arial"/>
    </font>
    <font>
      <b/>
      <sz val="10"/>
      <color rgb="FFC00000"/>
      <name val="Arial"/>
    </font>
    <font>
      <b/>
      <sz val="10"/>
      <color rgb="FF000000"/>
      <name val="Arial"/>
    </font>
    <font>
      <b/>
      <sz val="10"/>
      <color rgb="FF1F6F1F"/>
      <name val="Arial"/>
    </font>
    <font>
      <i/>
      <sz val="9"/>
      <color rgb="FF1F6F1F"/>
      <name val="Arial"/>
    </font>
    <font>
      <b/>
      <sz val="12"/>
      <color rgb="FF1F3864"/>
      <name val="Arial"/>
    </font>
    <font>
      <b/>
      <sz val="12"/>
      <color rgb="FFC00000"/>
      <name val="Arial"/>
    </font>
    <font>
      <b/>
      <sz val="11"/>
      <color rgb="FF806000"/>
      <name val="Arial"/>
    </font>
    <font>
      <i/>
      <sz val="9"/>
      <color rgb="FF806000"/>
      <name val="Arial"/>
    </font>
    <font>
      <sz val="9"/>
      <name val="Consolas"/>
    </font>
    <font>
      <b/>
      <sz val="11"/>
      <color rgb="FFC00000"/>
      <name val="Arial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E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 wrapText="1"/>
    </xf>
    <xf numFmtId="0" fontId="5" fillId="0" borderId="0" xfId="0" applyFont="1"/>
    <xf numFmtId="0" fontId="6" fillId="2" borderId="1" xfId="0" applyFont="1" applyFill="1" applyBorder="1" applyAlignment="1">
      <alignment vertical="center" wrapText="1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7" fillId="0" borderId="0" xfId="0" applyFont="1"/>
    <xf numFmtId="0" fontId="4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 wrapText="1"/>
    </xf>
    <xf numFmtId="164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 wrapText="1"/>
    </xf>
    <xf numFmtId="164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0" fontId="11" fillId="0" borderId="0" xfId="0" applyFont="1"/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center" wrapText="1"/>
    </xf>
    <xf numFmtId="0" fontId="12" fillId="0" borderId="0" xfId="0" applyFont="1"/>
    <xf numFmtId="0" fontId="13" fillId="0" borderId="0" xfId="0" applyFont="1"/>
    <xf numFmtId="0" fontId="4" fillId="0" borderId="0" xfId="0" applyFont="1" applyAlignment="1">
      <alignment wrapText="1"/>
    </xf>
    <xf numFmtId="0" fontId="14" fillId="0" borderId="0" xfId="0" applyFont="1"/>
    <xf numFmtId="0" fontId="3" fillId="0" borderId="1" xfId="0" applyFont="1" applyBorder="1"/>
    <xf numFmtId="0" fontId="3" fillId="4" borderId="1" xfId="0" applyFont="1" applyFill="1" applyBorder="1"/>
    <xf numFmtId="0" fontId="4" fillId="4" borderId="1" xfId="0" applyFont="1" applyFill="1" applyBorder="1"/>
    <xf numFmtId="0" fontId="15" fillId="0" borderId="0" xfId="0" applyFont="1"/>
    <xf numFmtId="0" fontId="16" fillId="6" borderId="0" xfId="0" applyFont="1" applyFill="1"/>
    <xf numFmtId="0" fontId="10" fillId="3" borderId="1" xfId="0" applyFont="1" applyFill="1" applyBorder="1" applyAlignment="1">
      <alignment vertical="top" wrapText="1"/>
    </xf>
    <xf numFmtId="0" fontId="17" fillId="0" borderId="0" xfId="0" applyFont="1"/>
    <xf numFmtId="0" fontId="4" fillId="0" borderId="0" xfId="0" applyFont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0" borderId="0" xfId="0"/>
  </cellXfs>
  <cellStyles count="1"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tabSelected="1" workbookViewId="0"/>
  </sheetViews>
  <sheetFormatPr defaultRowHeight="14.4" x14ac:dyDescent="0.3"/>
  <cols>
    <col min="1" max="1" width="30" customWidth="1"/>
    <col min="2" max="2" width="76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 t="s">
        <v>3</v>
      </c>
    </row>
    <row r="5" spans="1:2" x14ac:dyDescent="0.3">
      <c r="A5" s="3" t="s">
        <v>4</v>
      </c>
      <c r="B5" s="4" t="s">
        <v>5</v>
      </c>
    </row>
    <row r="6" spans="1:2" x14ac:dyDescent="0.3">
      <c r="A6" s="3" t="s">
        <v>6</v>
      </c>
      <c r="B6" s="4" t="s">
        <v>7</v>
      </c>
    </row>
    <row r="7" spans="1:2" x14ac:dyDescent="0.3">
      <c r="A7" s="3" t="s">
        <v>8</v>
      </c>
      <c r="B7" s="4" t="s">
        <v>9</v>
      </c>
    </row>
    <row r="8" spans="1:2" x14ac:dyDescent="0.3">
      <c r="A8" s="3" t="s">
        <v>10</v>
      </c>
      <c r="B8" s="4" t="s">
        <v>11</v>
      </c>
    </row>
    <row r="9" spans="1:2" x14ac:dyDescent="0.3">
      <c r="A9" s="3" t="s">
        <v>12</v>
      </c>
      <c r="B9" s="4" t="s">
        <v>13</v>
      </c>
    </row>
    <row r="10" spans="1:2" x14ac:dyDescent="0.3">
      <c r="A10" s="3" t="s">
        <v>14</v>
      </c>
      <c r="B10" s="4" t="s">
        <v>15</v>
      </c>
    </row>
    <row r="11" spans="1:2" x14ac:dyDescent="0.3">
      <c r="A11" s="3" t="s">
        <v>16</v>
      </c>
      <c r="B11" s="4">
        <v>32</v>
      </c>
    </row>
    <row r="12" spans="1:2" x14ac:dyDescent="0.3">
      <c r="A12" s="3" t="s">
        <v>17</v>
      </c>
      <c r="B12" s="4" t="s">
        <v>18</v>
      </c>
    </row>
    <row r="13" spans="1:2" x14ac:dyDescent="0.3">
      <c r="A13" s="3" t="s">
        <v>19</v>
      </c>
      <c r="B13" s="4" t="s">
        <v>20</v>
      </c>
    </row>
    <row r="14" spans="1:2" x14ac:dyDescent="0.3">
      <c r="A14" s="3" t="s">
        <v>21</v>
      </c>
      <c r="B14" s="4" t="s">
        <v>22</v>
      </c>
    </row>
    <row r="15" spans="1:2" x14ac:dyDescent="0.3">
      <c r="A15" s="3" t="s">
        <v>23</v>
      </c>
      <c r="B15" s="4" t="s">
        <v>24</v>
      </c>
    </row>
    <row r="17" spans="1:2" x14ac:dyDescent="0.3">
      <c r="A17" s="5" t="s">
        <v>25</v>
      </c>
    </row>
    <row r="18" spans="1:2" ht="30" customHeight="1" x14ac:dyDescent="0.3">
      <c r="A18" s="6" t="s">
        <v>26</v>
      </c>
      <c r="B18" s="6" t="s">
        <v>16</v>
      </c>
    </row>
    <row r="19" spans="1:2" x14ac:dyDescent="0.3">
      <c r="A19" s="7" t="s">
        <v>27</v>
      </c>
      <c r="B19" s="8">
        <f>COUNTIFS('Data Dictionary'!$J$4:$J$35,"ครบทุกแถว")</f>
        <v>14</v>
      </c>
    </row>
    <row r="20" spans="1:2" x14ac:dyDescent="0.3">
      <c r="A20" s="7" t="s">
        <v>28</v>
      </c>
      <c r="B20" s="8">
        <f>COUNTIFS('Data Dictionary'!$J$4:$J$35,"มีบ้างไม่มีบ้าง")</f>
        <v>8</v>
      </c>
    </row>
    <row r="21" spans="1:2" x14ac:dyDescent="0.3">
      <c r="A21" s="7" t="s">
        <v>29</v>
      </c>
      <c r="B21" s="8">
        <f>COUNTIFS('Data Dictionary'!$J$4:$J$35,"ขาดบางแพลตฟอร์ม")</f>
        <v>5</v>
      </c>
    </row>
    <row r="22" spans="1:2" x14ac:dyDescent="0.3">
      <c r="A22" s="7" t="s">
        <v>30</v>
      </c>
      <c r="B22" s="8">
        <f>COUNTIFS('Data Dictionary'!$J$4:$J$35,"ยังไม่มีข้อมูล")</f>
        <v>5</v>
      </c>
    </row>
    <row r="23" spans="1:2" x14ac:dyDescent="0.3">
      <c r="A23" s="3" t="s">
        <v>31</v>
      </c>
      <c r="B23" s="9">
        <f>SUM(B19:B22)</f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5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" customWidth="1"/>
    <col min="2" max="2" width="22" customWidth="1"/>
    <col min="3" max="3" width="16" customWidth="1"/>
    <col min="4" max="4" width="9" customWidth="1"/>
    <col min="5" max="5" width="14" customWidth="1"/>
    <col min="6" max="6" width="42" customWidth="1"/>
    <col min="7" max="9" width="10" customWidth="1"/>
    <col min="10" max="10" width="18" customWidth="1"/>
    <col min="11" max="11" width="60" customWidth="1"/>
  </cols>
  <sheetData>
    <row r="1" spans="1:11" ht="16.8" x14ac:dyDescent="0.3">
      <c r="A1" s="10" t="s">
        <v>32</v>
      </c>
    </row>
    <row r="2" spans="1:11" x14ac:dyDescent="0.3">
      <c r="A2" s="2" t="s">
        <v>33</v>
      </c>
    </row>
    <row r="3" spans="1:11" ht="30" customHeight="1" x14ac:dyDescent="0.3">
      <c r="A3" s="6" t="s">
        <v>34</v>
      </c>
      <c r="B3" s="6" t="s">
        <v>35</v>
      </c>
      <c r="C3" s="6" t="s">
        <v>36</v>
      </c>
      <c r="D3" s="6" t="s">
        <v>37</v>
      </c>
      <c r="E3" s="6" t="s">
        <v>38</v>
      </c>
      <c r="F3" s="6" t="s">
        <v>39</v>
      </c>
      <c r="G3" s="6" t="s">
        <v>40</v>
      </c>
      <c r="H3" s="6" t="s">
        <v>41</v>
      </c>
      <c r="I3" s="6" t="s">
        <v>42</v>
      </c>
      <c r="J3" s="6" t="s">
        <v>26</v>
      </c>
      <c r="K3" s="6" t="s">
        <v>43</v>
      </c>
    </row>
    <row r="4" spans="1:11" ht="26.4" x14ac:dyDescent="0.3">
      <c r="A4" s="11">
        <v>1</v>
      </c>
      <c r="B4" s="12" t="s">
        <v>44</v>
      </c>
      <c r="C4" s="11" t="s">
        <v>45</v>
      </c>
      <c r="D4" s="11" t="s">
        <v>46</v>
      </c>
      <c r="E4" s="11" t="s">
        <v>47</v>
      </c>
      <c r="F4" s="13" t="s">
        <v>48</v>
      </c>
      <c r="G4" s="14">
        <v>1</v>
      </c>
      <c r="H4" s="14">
        <v>1</v>
      </c>
      <c r="I4" s="14">
        <v>1</v>
      </c>
      <c r="J4" s="15" t="s">
        <v>49</v>
      </c>
      <c r="K4" s="13" t="s">
        <v>50</v>
      </c>
    </row>
    <row r="5" spans="1:11" x14ac:dyDescent="0.3">
      <c r="A5" s="11">
        <v>2</v>
      </c>
      <c r="B5" s="16" t="s">
        <v>51</v>
      </c>
      <c r="C5" s="11" t="s">
        <v>52</v>
      </c>
      <c r="D5" s="11" t="s">
        <v>46</v>
      </c>
      <c r="E5" s="11" t="s">
        <v>47</v>
      </c>
      <c r="F5" s="13" t="s">
        <v>53</v>
      </c>
      <c r="G5" s="14">
        <v>1</v>
      </c>
      <c r="H5" s="14">
        <v>1</v>
      </c>
      <c r="I5" s="14">
        <v>1</v>
      </c>
      <c r="J5" s="15" t="s">
        <v>49</v>
      </c>
      <c r="K5" s="13" t="s">
        <v>54</v>
      </c>
    </row>
    <row r="6" spans="1:11" x14ac:dyDescent="0.3">
      <c r="A6" s="11">
        <v>3</v>
      </c>
      <c r="B6" s="16" t="s">
        <v>55</v>
      </c>
      <c r="C6" s="11" t="s">
        <v>56</v>
      </c>
      <c r="D6" s="11" t="s">
        <v>46</v>
      </c>
      <c r="E6" s="11" t="s">
        <v>47</v>
      </c>
      <c r="F6" s="13" t="s">
        <v>57</v>
      </c>
      <c r="G6" s="14">
        <v>1</v>
      </c>
      <c r="H6" s="14">
        <v>1</v>
      </c>
      <c r="I6" s="14">
        <v>1</v>
      </c>
      <c r="J6" s="15" t="s">
        <v>49</v>
      </c>
      <c r="K6" s="13"/>
    </row>
    <row r="7" spans="1:11" x14ac:dyDescent="0.3">
      <c r="A7" s="11">
        <v>4</v>
      </c>
      <c r="B7" s="16" t="s">
        <v>58</v>
      </c>
      <c r="C7" s="11" t="s">
        <v>59</v>
      </c>
      <c r="D7" s="11" t="s">
        <v>46</v>
      </c>
      <c r="E7" s="11" t="s">
        <v>47</v>
      </c>
      <c r="F7" s="13" t="s">
        <v>60</v>
      </c>
      <c r="G7" s="14">
        <v>1</v>
      </c>
      <c r="H7" s="14">
        <v>1</v>
      </c>
      <c r="I7" s="14">
        <v>1</v>
      </c>
      <c r="J7" s="15" t="s">
        <v>49</v>
      </c>
      <c r="K7" s="13" t="s">
        <v>61</v>
      </c>
    </row>
    <row r="8" spans="1:11" x14ac:dyDescent="0.3">
      <c r="A8" s="11">
        <v>5</v>
      </c>
      <c r="B8" s="16" t="s">
        <v>62</v>
      </c>
      <c r="C8" s="11" t="s">
        <v>63</v>
      </c>
      <c r="D8" s="11" t="s">
        <v>46</v>
      </c>
      <c r="E8" s="11" t="s">
        <v>64</v>
      </c>
      <c r="F8" s="13" t="s">
        <v>65</v>
      </c>
      <c r="G8" s="14">
        <v>1</v>
      </c>
      <c r="H8" s="14">
        <v>1</v>
      </c>
      <c r="I8" s="14">
        <v>1</v>
      </c>
      <c r="J8" s="15" t="s">
        <v>49</v>
      </c>
      <c r="K8" s="13" t="s">
        <v>66</v>
      </c>
    </row>
    <row r="9" spans="1:11" x14ac:dyDescent="0.3">
      <c r="A9" s="17">
        <v>6</v>
      </c>
      <c r="B9" s="18" t="s">
        <v>67</v>
      </c>
      <c r="C9" s="17" t="s">
        <v>63</v>
      </c>
      <c r="D9" s="17" t="s">
        <v>68</v>
      </c>
      <c r="E9" s="17" t="s">
        <v>64</v>
      </c>
      <c r="F9" s="19" t="s">
        <v>69</v>
      </c>
      <c r="G9" s="20">
        <v>1</v>
      </c>
      <c r="H9" s="20">
        <v>0.79300000000000004</v>
      </c>
      <c r="I9" s="20">
        <v>0.83299999999999996</v>
      </c>
      <c r="J9" s="21" t="s">
        <v>28</v>
      </c>
      <c r="K9" s="19"/>
    </row>
    <row r="10" spans="1:11" x14ac:dyDescent="0.3">
      <c r="A10" s="22">
        <v>7</v>
      </c>
      <c r="B10" s="23" t="s">
        <v>70</v>
      </c>
      <c r="C10" s="22" t="s">
        <v>63</v>
      </c>
      <c r="D10" s="22" t="s">
        <v>68</v>
      </c>
      <c r="E10" s="22" t="s">
        <v>64</v>
      </c>
      <c r="F10" s="24" t="s">
        <v>71</v>
      </c>
      <c r="G10" s="25">
        <v>0</v>
      </c>
      <c r="H10" s="25">
        <v>0.78600000000000003</v>
      </c>
      <c r="I10" s="25">
        <v>0.91400000000000003</v>
      </c>
      <c r="J10" s="26" t="s">
        <v>29</v>
      </c>
      <c r="K10" s="24" t="s">
        <v>72</v>
      </c>
    </row>
    <row r="11" spans="1:11" x14ac:dyDescent="0.3">
      <c r="A11" s="11">
        <v>8</v>
      </c>
      <c r="B11" s="16" t="s">
        <v>73</v>
      </c>
      <c r="C11" s="11" t="s">
        <v>45</v>
      </c>
      <c r="D11" s="11" t="s">
        <v>68</v>
      </c>
      <c r="E11" s="11" t="s">
        <v>26</v>
      </c>
      <c r="F11" s="13" t="s">
        <v>74</v>
      </c>
      <c r="G11" s="14">
        <v>1</v>
      </c>
      <c r="H11" s="14">
        <v>1</v>
      </c>
      <c r="I11" s="14">
        <v>1</v>
      </c>
      <c r="J11" s="15" t="s">
        <v>49</v>
      </c>
      <c r="K11" s="13" t="s">
        <v>75</v>
      </c>
    </row>
    <row r="12" spans="1:11" x14ac:dyDescent="0.3">
      <c r="A12" s="11">
        <v>9</v>
      </c>
      <c r="B12" s="16" t="s">
        <v>76</v>
      </c>
      <c r="C12" s="11" t="s">
        <v>52</v>
      </c>
      <c r="D12" s="11" t="s">
        <v>46</v>
      </c>
      <c r="E12" s="11" t="s">
        <v>26</v>
      </c>
      <c r="F12" s="13" t="s">
        <v>77</v>
      </c>
      <c r="G12" s="14">
        <v>1</v>
      </c>
      <c r="H12" s="14">
        <v>1</v>
      </c>
      <c r="I12" s="14">
        <v>1</v>
      </c>
      <c r="J12" s="15" t="s">
        <v>49</v>
      </c>
      <c r="K12" s="13" t="s">
        <v>78</v>
      </c>
    </row>
    <row r="13" spans="1:11" x14ac:dyDescent="0.3">
      <c r="A13" s="17">
        <v>10</v>
      </c>
      <c r="B13" s="18" t="s">
        <v>79</v>
      </c>
      <c r="C13" s="17" t="s">
        <v>45</v>
      </c>
      <c r="D13" s="17" t="s">
        <v>68</v>
      </c>
      <c r="E13" s="17" t="s">
        <v>26</v>
      </c>
      <c r="F13" s="19" t="s">
        <v>80</v>
      </c>
      <c r="G13" s="20">
        <v>0.97099999999999997</v>
      </c>
      <c r="H13" s="20">
        <v>0.998</v>
      </c>
      <c r="I13" s="20">
        <v>1</v>
      </c>
      <c r="J13" s="21" t="s">
        <v>28</v>
      </c>
      <c r="K13" s="19"/>
    </row>
    <row r="14" spans="1:11" x14ac:dyDescent="0.3">
      <c r="A14" s="17">
        <v>11</v>
      </c>
      <c r="B14" s="27" t="s">
        <v>81</v>
      </c>
      <c r="C14" s="17" t="s">
        <v>59</v>
      </c>
      <c r="D14" s="17" t="s">
        <v>68</v>
      </c>
      <c r="E14" s="17" t="s">
        <v>82</v>
      </c>
      <c r="F14" s="19" t="s">
        <v>83</v>
      </c>
      <c r="G14" s="20">
        <v>1</v>
      </c>
      <c r="H14" s="20">
        <v>0.97199999999999998</v>
      </c>
      <c r="I14" s="20">
        <v>0.97499999999999998</v>
      </c>
      <c r="J14" s="21" t="s">
        <v>28</v>
      </c>
      <c r="K14" s="19" t="s">
        <v>84</v>
      </c>
    </row>
    <row r="15" spans="1:11" x14ac:dyDescent="0.3">
      <c r="A15" s="11">
        <v>12</v>
      </c>
      <c r="B15" s="16" t="s">
        <v>85</v>
      </c>
      <c r="C15" s="11" t="s">
        <v>86</v>
      </c>
      <c r="D15" s="11" t="s">
        <v>68</v>
      </c>
      <c r="E15" s="11" t="s">
        <v>82</v>
      </c>
      <c r="F15" s="13" t="s">
        <v>87</v>
      </c>
      <c r="G15" s="14">
        <v>1</v>
      </c>
      <c r="H15" s="14">
        <v>1</v>
      </c>
      <c r="I15" s="14">
        <v>1</v>
      </c>
      <c r="J15" s="15" t="s">
        <v>49</v>
      </c>
      <c r="K15" s="13"/>
    </row>
    <row r="16" spans="1:11" x14ac:dyDescent="0.3">
      <c r="A16" s="17">
        <v>13</v>
      </c>
      <c r="B16" s="18" t="s">
        <v>88</v>
      </c>
      <c r="C16" s="17" t="s">
        <v>89</v>
      </c>
      <c r="D16" s="17" t="s">
        <v>68</v>
      </c>
      <c r="E16" s="17" t="s">
        <v>82</v>
      </c>
      <c r="F16" s="19" t="s">
        <v>90</v>
      </c>
      <c r="G16" s="20">
        <v>0.61199999999999999</v>
      </c>
      <c r="H16" s="20">
        <v>1</v>
      </c>
      <c r="I16" s="20">
        <v>0.86499999999999999</v>
      </c>
      <c r="J16" s="21" t="s">
        <v>28</v>
      </c>
      <c r="K16" s="19"/>
    </row>
    <row r="17" spans="1:11" x14ac:dyDescent="0.3">
      <c r="A17" s="11">
        <v>14</v>
      </c>
      <c r="B17" s="16" t="s">
        <v>91</v>
      </c>
      <c r="C17" s="11" t="s">
        <v>92</v>
      </c>
      <c r="D17" s="11" t="s">
        <v>68</v>
      </c>
      <c r="E17" s="11" t="s">
        <v>82</v>
      </c>
      <c r="F17" s="13" t="s">
        <v>93</v>
      </c>
      <c r="G17" s="14">
        <v>1</v>
      </c>
      <c r="H17" s="14">
        <v>1</v>
      </c>
      <c r="I17" s="14">
        <v>1</v>
      </c>
      <c r="J17" s="15" t="s">
        <v>49</v>
      </c>
      <c r="K17" s="13" t="s">
        <v>94</v>
      </c>
    </row>
    <row r="18" spans="1:11" x14ac:dyDescent="0.3">
      <c r="A18" s="11">
        <v>15</v>
      </c>
      <c r="B18" s="16" t="s">
        <v>95</v>
      </c>
      <c r="C18" s="11" t="s">
        <v>96</v>
      </c>
      <c r="D18" s="11" t="s">
        <v>68</v>
      </c>
      <c r="E18" s="11" t="s">
        <v>97</v>
      </c>
      <c r="F18" s="13" t="s">
        <v>98</v>
      </c>
      <c r="G18" s="14">
        <v>1</v>
      </c>
      <c r="H18" s="14">
        <v>1</v>
      </c>
      <c r="I18" s="14">
        <v>1</v>
      </c>
      <c r="J18" s="15" t="s">
        <v>49</v>
      </c>
      <c r="K18" s="13"/>
    </row>
    <row r="19" spans="1:11" x14ac:dyDescent="0.3">
      <c r="A19" s="28">
        <v>16</v>
      </c>
      <c r="B19" s="29" t="s">
        <v>99</v>
      </c>
      <c r="C19" s="28" t="s">
        <v>96</v>
      </c>
      <c r="D19" s="28" t="s">
        <v>68</v>
      </c>
      <c r="E19" s="28" t="s">
        <v>97</v>
      </c>
      <c r="F19" s="30" t="s">
        <v>100</v>
      </c>
      <c r="G19" s="31">
        <v>0</v>
      </c>
      <c r="H19" s="31">
        <v>0</v>
      </c>
      <c r="I19" s="31">
        <v>0</v>
      </c>
      <c r="J19" s="32" t="s">
        <v>101</v>
      </c>
      <c r="K19" s="30" t="s">
        <v>102</v>
      </c>
    </row>
    <row r="20" spans="1:11" x14ac:dyDescent="0.3">
      <c r="A20" s="17">
        <v>17</v>
      </c>
      <c r="B20" s="18" t="s">
        <v>103</v>
      </c>
      <c r="C20" s="17" t="s">
        <v>96</v>
      </c>
      <c r="D20" s="17" t="s">
        <v>68</v>
      </c>
      <c r="E20" s="17" t="s">
        <v>97</v>
      </c>
      <c r="F20" s="19" t="s">
        <v>104</v>
      </c>
      <c r="G20" s="20">
        <v>2.3E-2</v>
      </c>
      <c r="H20" s="20">
        <v>1</v>
      </c>
      <c r="I20" s="20">
        <v>1</v>
      </c>
      <c r="J20" s="21" t="s">
        <v>28</v>
      </c>
      <c r="K20" s="19" t="s">
        <v>105</v>
      </c>
    </row>
    <row r="21" spans="1:11" x14ac:dyDescent="0.3">
      <c r="A21" s="17">
        <v>18</v>
      </c>
      <c r="B21" s="18" t="s">
        <v>106</v>
      </c>
      <c r="C21" s="17" t="s">
        <v>96</v>
      </c>
      <c r="D21" s="17" t="s">
        <v>68</v>
      </c>
      <c r="E21" s="17" t="s">
        <v>97</v>
      </c>
      <c r="F21" s="19" t="s">
        <v>107</v>
      </c>
      <c r="G21" s="20">
        <v>0.61</v>
      </c>
      <c r="H21" s="20">
        <v>1</v>
      </c>
      <c r="I21" s="20">
        <v>1</v>
      </c>
      <c r="J21" s="21" t="s">
        <v>28</v>
      </c>
      <c r="K21" s="19"/>
    </row>
    <row r="22" spans="1:11" x14ac:dyDescent="0.3">
      <c r="A22" s="11">
        <v>19</v>
      </c>
      <c r="B22" s="16" t="s">
        <v>108</v>
      </c>
      <c r="C22" s="11" t="s">
        <v>96</v>
      </c>
      <c r="D22" s="11" t="s">
        <v>68</v>
      </c>
      <c r="E22" s="11" t="s">
        <v>109</v>
      </c>
      <c r="F22" s="13" t="s">
        <v>110</v>
      </c>
      <c r="G22" s="14">
        <v>1</v>
      </c>
      <c r="H22" s="14">
        <v>1</v>
      </c>
      <c r="I22" s="14">
        <v>1</v>
      </c>
      <c r="J22" s="15" t="s">
        <v>49</v>
      </c>
      <c r="K22" s="13" t="s">
        <v>111</v>
      </c>
    </row>
    <row r="23" spans="1:11" x14ac:dyDescent="0.3">
      <c r="A23" s="17">
        <v>20</v>
      </c>
      <c r="B23" s="18" t="s">
        <v>112</v>
      </c>
      <c r="C23" s="17" t="s">
        <v>45</v>
      </c>
      <c r="D23" s="17" t="s">
        <v>68</v>
      </c>
      <c r="E23" s="17" t="s">
        <v>109</v>
      </c>
      <c r="F23" s="19" t="s">
        <v>113</v>
      </c>
      <c r="G23" s="20">
        <v>0.85099999999999998</v>
      </c>
      <c r="H23" s="20">
        <v>0.80900000000000005</v>
      </c>
      <c r="I23" s="20">
        <v>1</v>
      </c>
      <c r="J23" s="21" t="s">
        <v>28</v>
      </c>
      <c r="K23" s="19"/>
    </row>
    <row r="24" spans="1:11" x14ac:dyDescent="0.3">
      <c r="A24" s="17">
        <v>21</v>
      </c>
      <c r="B24" s="27" t="s">
        <v>114</v>
      </c>
      <c r="C24" s="17" t="s">
        <v>45</v>
      </c>
      <c r="D24" s="17" t="s">
        <v>68</v>
      </c>
      <c r="E24" s="17" t="s">
        <v>109</v>
      </c>
      <c r="F24" s="19" t="s">
        <v>115</v>
      </c>
      <c r="G24" s="20">
        <v>0.85099999999999998</v>
      </c>
      <c r="H24" s="20">
        <v>0.80900000000000005</v>
      </c>
      <c r="I24" s="20">
        <v>0.86099999999999999</v>
      </c>
      <c r="J24" s="21" t="s">
        <v>28</v>
      </c>
      <c r="K24" s="19" t="s">
        <v>116</v>
      </c>
    </row>
    <row r="25" spans="1:11" x14ac:dyDescent="0.3">
      <c r="A25" s="28">
        <v>22</v>
      </c>
      <c r="B25" s="29" t="s">
        <v>117</v>
      </c>
      <c r="C25" s="28" t="s">
        <v>96</v>
      </c>
      <c r="D25" s="28" t="s">
        <v>68</v>
      </c>
      <c r="E25" s="28" t="s">
        <v>118</v>
      </c>
      <c r="F25" s="30" t="s">
        <v>119</v>
      </c>
      <c r="G25" s="31">
        <v>0</v>
      </c>
      <c r="H25" s="31">
        <v>0</v>
      </c>
      <c r="I25" s="31">
        <v>0</v>
      </c>
      <c r="J25" s="32" t="s">
        <v>101</v>
      </c>
      <c r="K25" s="30" t="s">
        <v>120</v>
      </c>
    </row>
    <row r="26" spans="1:11" x14ac:dyDescent="0.3">
      <c r="A26" s="28">
        <v>23</v>
      </c>
      <c r="B26" s="29" t="s">
        <v>121</v>
      </c>
      <c r="C26" s="28" t="s">
        <v>96</v>
      </c>
      <c r="D26" s="28" t="s">
        <v>68</v>
      </c>
      <c r="E26" s="28" t="s">
        <v>118</v>
      </c>
      <c r="F26" s="30" t="s">
        <v>122</v>
      </c>
      <c r="G26" s="31">
        <v>0</v>
      </c>
      <c r="H26" s="31">
        <v>0</v>
      </c>
      <c r="I26" s="31">
        <v>0</v>
      </c>
      <c r="J26" s="32" t="s">
        <v>101</v>
      </c>
      <c r="K26" s="30" t="s">
        <v>123</v>
      </c>
    </row>
    <row r="27" spans="1:11" x14ac:dyDescent="0.3">
      <c r="A27" s="28">
        <v>24</v>
      </c>
      <c r="B27" s="29" t="s">
        <v>124</v>
      </c>
      <c r="C27" s="28" t="s">
        <v>96</v>
      </c>
      <c r="D27" s="28" t="s">
        <v>68</v>
      </c>
      <c r="E27" s="28" t="s">
        <v>118</v>
      </c>
      <c r="F27" s="30" t="s">
        <v>125</v>
      </c>
      <c r="G27" s="31">
        <v>0</v>
      </c>
      <c r="H27" s="31">
        <v>0</v>
      </c>
      <c r="I27" s="31">
        <v>0</v>
      </c>
      <c r="J27" s="32" t="s">
        <v>101</v>
      </c>
      <c r="K27" s="30" t="s">
        <v>123</v>
      </c>
    </row>
    <row r="28" spans="1:11" ht="26.4" x14ac:dyDescent="0.3">
      <c r="A28" s="11">
        <v>25</v>
      </c>
      <c r="B28" s="16" t="s">
        <v>126</v>
      </c>
      <c r="C28" s="11" t="s">
        <v>96</v>
      </c>
      <c r="D28" s="11" t="s">
        <v>68</v>
      </c>
      <c r="E28" s="11" t="s">
        <v>127</v>
      </c>
      <c r="F28" s="13" t="s">
        <v>128</v>
      </c>
      <c r="G28" s="14">
        <v>1</v>
      </c>
      <c r="H28" s="14">
        <v>1</v>
      </c>
      <c r="I28" s="14">
        <v>1</v>
      </c>
      <c r="J28" s="15" t="s">
        <v>49</v>
      </c>
      <c r="K28" s="13" t="s">
        <v>129</v>
      </c>
    </row>
    <row r="29" spans="1:11" x14ac:dyDescent="0.3">
      <c r="A29" s="28">
        <v>26</v>
      </c>
      <c r="B29" s="29" t="s">
        <v>130</v>
      </c>
      <c r="C29" s="28" t="s">
        <v>96</v>
      </c>
      <c r="D29" s="28" t="s">
        <v>68</v>
      </c>
      <c r="E29" s="28" t="s">
        <v>127</v>
      </c>
      <c r="F29" s="30" t="s">
        <v>131</v>
      </c>
      <c r="G29" s="31">
        <v>0</v>
      </c>
      <c r="H29" s="31">
        <v>0</v>
      </c>
      <c r="I29" s="31">
        <v>0</v>
      </c>
      <c r="J29" s="32" t="s">
        <v>101</v>
      </c>
      <c r="K29" s="30" t="s">
        <v>132</v>
      </c>
    </row>
    <row r="30" spans="1:11" ht="26.4" x14ac:dyDescent="0.3">
      <c r="A30" s="22">
        <v>27</v>
      </c>
      <c r="B30" s="23" t="s">
        <v>133</v>
      </c>
      <c r="C30" s="22" t="s">
        <v>45</v>
      </c>
      <c r="D30" s="22" t="s">
        <v>68</v>
      </c>
      <c r="E30" s="22" t="s">
        <v>134</v>
      </c>
      <c r="F30" s="24" t="s">
        <v>135</v>
      </c>
      <c r="G30" s="25">
        <v>0</v>
      </c>
      <c r="H30" s="25">
        <v>0.998</v>
      </c>
      <c r="I30" s="25">
        <v>0.998</v>
      </c>
      <c r="J30" s="26" t="s">
        <v>29</v>
      </c>
      <c r="K30" s="24" t="s">
        <v>136</v>
      </c>
    </row>
    <row r="31" spans="1:11" x14ac:dyDescent="0.3">
      <c r="A31" s="22">
        <v>28</v>
      </c>
      <c r="B31" s="23" t="s">
        <v>137</v>
      </c>
      <c r="C31" s="22" t="s">
        <v>45</v>
      </c>
      <c r="D31" s="22" t="s">
        <v>68</v>
      </c>
      <c r="E31" s="22" t="s">
        <v>134</v>
      </c>
      <c r="F31" s="24" t="s">
        <v>138</v>
      </c>
      <c r="G31" s="25">
        <v>0</v>
      </c>
      <c r="H31" s="25">
        <v>1</v>
      </c>
      <c r="I31" s="25">
        <v>1</v>
      </c>
      <c r="J31" s="26" t="s">
        <v>29</v>
      </c>
      <c r="K31" s="24" t="s">
        <v>139</v>
      </c>
    </row>
    <row r="32" spans="1:11" x14ac:dyDescent="0.3">
      <c r="A32" s="22">
        <v>29</v>
      </c>
      <c r="B32" s="23" t="s">
        <v>140</v>
      </c>
      <c r="C32" s="22" t="s">
        <v>89</v>
      </c>
      <c r="D32" s="22" t="s">
        <v>68</v>
      </c>
      <c r="E32" s="22" t="s">
        <v>141</v>
      </c>
      <c r="F32" s="24" t="s">
        <v>142</v>
      </c>
      <c r="G32" s="25">
        <v>0</v>
      </c>
      <c r="H32" s="25">
        <v>0.23899999999999999</v>
      </c>
      <c r="I32" s="25">
        <v>0.17199999999999999</v>
      </c>
      <c r="J32" s="26" t="s">
        <v>29</v>
      </c>
      <c r="K32" s="24" t="s">
        <v>143</v>
      </c>
    </row>
    <row r="33" spans="1:11" x14ac:dyDescent="0.3">
      <c r="A33" s="22">
        <v>30</v>
      </c>
      <c r="B33" s="23" t="s">
        <v>144</v>
      </c>
      <c r="C33" s="22" t="s">
        <v>45</v>
      </c>
      <c r="D33" s="22" t="s">
        <v>68</v>
      </c>
      <c r="E33" s="22" t="s">
        <v>141</v>
      </c>
      <c r="F33" s="24" t="s">
        <v>145</v>
      </c>
      <c r="G33" s="25">
        <v>0</v>
      </c>
      <c r="H33" s="25">
        <v>0.24099999999999999</v>
      </c>
      <c r="I33" s="25">
        <v>1.2E-2</v>
      </c>
      <c r="J33" s="26" t="s">
        <v>29</v>
      </c>
      <c r="K33" s="24" t="s">
        <v>146</v>
      </c>
    </row>
    <row r="34" spans="1:11" ht="26.4" x14ac:dyDescent="0.3">
      <c r="A34" s="11">
        <v>31</v>
      </c>
      <c r="B34" s="16" t="s">
        <v>147</v>
      </c>
      <c r="C34" s="11" t="s">
        <v>86</v>
      </c>
      <c r="D34" s="11" t="s">
        <v>68</v>
      </c>
      <c r="E34" s="11" t="s">
        <v>148</v>
      </c>
      <c r="F34" s="13" t="s">
        <v>149</v>
      </c>
      <c r="G34" s="14">
        <v>1</v>
      </c>
      <c r="H34" s="14">
        <v>1</v>
      </c>
      <c r="I34" s="14">
        <v>1</v>
      </c>
      <c r="J34" s="15" t="s">
        <v>49</v>
      </c>
      <c r="K34" s="13" t="s">
        <v>150</v>
      </c>
    </row>
    <row r="35" spans="1:11" x14ac:dyDescent="0.3">
      <c r="A35" s="11">
        <v>32</v>
      </c>
      <c r="B35" s="16" t="s">
        <v>151</v>
      </c>
      <c r="C35" s="11" t="s">
        <v>63</v>
      </c>
      <c r="D35" s="11" t="s">
        <v>46</v>
      </c>
      <c r="E35" s="11" t="s">
        <v>148</v>
      </c>
      <c r="F35" s="13" t="s">
        <v>152</v>
      </c>
      <c r="G35" s="14">
        <v>1</v>
      </c>
      <c r="H35" s="14">
        <v>1</v>
      </c>
      <c r="I35" s="14">
        <v>1</v>
      </c>
      <c r="J35" s="15" t="s">
        <v>49</v>
      </c>
      <c r="K35" s="13" t="s">
        <v>153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1"/>
  <sheetViews>
    <sheetView workbookViewId="0">
      <pane xSplit="2" ySplit="6" topLeftCell="C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" customWidth="1"/>
    <col min="2" max="2" width="26" customWidth="1"/>
    <col min="3" max="3" width="12" customWidth="1"/>
    <col min="4" max="4" width="15" customWidth="1"/>
    <col min="5" max="5" width="62" customWidth="1"/>
    <col min="6" max="6" width="30" customWidth="1"/>
  </cols>
  <sheetData>
    <row r="1" spans="1:6" ht="17.399999999999999" x14ac:dyDescent="0.3">
      <c r="A1" s="1" t="s">
        <v>154</v>
      </c>
    </row>
    <row r="2" spans="1:6" x14ac:dyDescent="0.3">
      <c r="A2" s="2" t="s">
        <v>155</v>
      </c>
    </row>
    <row r="4" spans="1:6" x14ac:dyDescent="0.3">
      <c r="A4" s="3" t="s">
        <v>156</v>
      </c>
    </row>
    <row r="6" spans="1:6" ht="30" customHeight="1" x14ac:dyDescent="0.3">
      <c r="A6" s="6" t="s">
        <v>34</v>
      </c>
      <c r="B6" s="6" t="s">
        <v>35</v>
      </c>
      <c r="C6" s="6" t="s">
        <v>157</v>
      </c>
      <c r="D6" s="6" t="s">
        <v>158</v>
      </c>
      <c r="E6" s="6" t="s">
        <v>39</v>
      </c>
      <c r="F6" s="6" t="s">
        <v>159</v>
      </c>
    </row>
    <row r="7" spans="1:6" x14ac:dyDescent="0.3">
      <c r="A7" s="33">
        <v>1</v>
      </c>
      <c r="B7" s="34" t="s">
        <v>44</v>
      </c>
      <c r="C7" s="33" t="s">
        <v>160</v>
      </c>
      <c r="D7" s="33" t="s">
        <v>161</v>
      </c>
      <c r="E7" s="35" t="s">
        <v>162</v>
      </c>
      <c r="F7" s="35" t="s">
        <v>163</v>
      </c>
    </row>
    <row r="8" spans="1:6" x14ac:dyDescent="0.3">
      <c r="A8" s="33">
        <v>2</v>
      </c>
      <c r="B8" s="34" t="s">
        <v>55</v>
      </c>
      <c r="C8" s="33" t="s">
        <v>160</v>
      </c>
      <c r="D8" s="33" t="s">
        <v>161</v>
      </c>
      <c r="E8" s="35" t="s">
        <v>164</v>
      </c>
      <c r="F8" s="35"/>
    </row>
    <row r="9" spans="1:6" x14ac:dyDescent="0.3">
      <c r="A9" s="33">
        <v>3</v>
      </c>
      <c r="B9" s="34" t="s">
        <v>62</v>
      </c>
      <c r="C9" s="33" t="s">
        <v>165</v>
      </c>
      <c r="D9" s="33" t="s">
        <v>161</v>
      </c>
      <c r="E9" s="35" t="s">
        <v>166</v>
      </c>
      <c r="F9" s="35"/>
    </row>
    <row r="10" spans="1:6" x14ac:dyDescent="0.3">
      <c r="A10" s="33">
        <v>4</v>
      </c>
      <c r="B10" s="34" t="s">
        <v>67</v>
      </c>
      <c r="C10" s="33" t="s">
        <v>165</v>
      </c>
      <c r="D10" s="33" t="s">
        <v>161</v>
      </c>
      <c r="E10" s="35" t="s">
        <v>167</v>
      </c>
      <c r="F10" s="35"/>
    </row>
    <row r="11" spans="1:6" x14ac:dyDescent="0.3">
      <c r="A11" s="33">
        <v>5</v>
      </c>
      <c r="B11" s="34" t="s">
        <v>70</v>
      </c>
      <c r="C11" s="33" t="s">
        <v>165</v>
      </c>
      <c r="D11" s="33" t="s">
        <v>161</v>
      </c>
      <c r="E11" s="35" t="s">
        <v>168</v>
      </c>
      <c r="F11" s="35"/>
    </row>
    <row r="12" spans="1:6" ht="26.4" x14ac:dyDescent="0.3">
      <c r="A12" s="33">
        <v>6</v>
      </c>
      <c r="B12" s="34" t="s">
        <v>73</v>
      </c>
      <c r="C12" s="33" t="s">
        <v>160</v>
      </c>
      <c r="D12" s="33" t="s">
        <v>161</v>
      </c>
      <c r="E12" s="35" t="s">
        <v>169</v>
      </c>
      <c r="F12" s="35" t="s">
        <v>170</v>
      </c>
    </row>
    <row r="13" spans="1:6" ht="26.4" x14ac:dyDescent="0.3">
      <c r="A13" s="33">
        <v>7</v>
      </c>
      <c r="B13" s="34" t="s">
        <v>76</v>
      </c>
      <c r="C13" s="33" t="s">
        <v>160</v>
      </c>
      <c r="D13" s="33" t="s">
        <v>161</v>
      </c>
      <c r="E13" s="35" t="s">
        <v>171</v>
      </c>
      <c r="F13" s="35" t="s">
        <v>172</v>
      </c>
    </row>
    <row r="14" spans="1:6" x14ac:dyDescent="0.3">
      <c r="A14" s="33">
        <v>8</v>
      </c>
      <c r="B14" s="34" t="s">
        <v>79</v>
      </c>
      <c r="C14" s="33" t="s">
        <v>160</v>
      </c>
      <c r="D14" s="33" t="s">
        <v>161</v>
      </c>
      <c r="E14" s="35" t="s">
        <v>173</v>
      </c>
      <c r="F14" s="35" t="s">
        <v>174</v>
      </c>
    </row>
    <row r="15" spans="1:6" ht="26.4" x14ac:dyDescent="0.3">
      <c r="A15" s="33">
        <v>9</v>
      </c>
      <c r="B15" s="34" t="s">
        <v>81</v>
      </c>
      <c r="C15" s="33" t="s">
        <v>160</v>
      </c>
      <c r="D15" s="33" t="s">
        <v>161</v>
      </c>
      <c r="E15" s="35" t="s">
        <v>175</v>
      </c>
      <c r="F15" s="35" t="s">
        <v>176</v>
      </c>
    </row>
    <row r="16" spans="1:6" ht="26.4" x14ac:dyDescent="0.3">
      <c r="A16" s="33">
        <v>10</v>
      </c>
      <c r="B16" s="34" t="s">
        <v>88</v>
      </c>
      <c r="C16" s="33" t="s">
        <v>160</v>
      </c>
      <c r="D16" s="33" t="s">
        <v>161</v>
      </c>
      <c r="E16" s="35" t="s">
        <v>177</v>
      </c>
      <c r="F16" s="35" t="s">
        <v>178</v>
      </c>
    </row>
    <row r="17" spans="1:6" x14ac:dyDescent="0.3">
      <c r="A17" s="33">
        <v>11</v>
      </c>
      <c r="B17" s="34" t="s">
        <v>91</v>
      </c>
      <c r="C17" s="33" t="s">
        <v>179</v>
      </c>
      <c r="D17" s="33" t="s">
        <v>161</v>
      </c>
      <c r="E17" s="35" t="s">
        <v>180</v>
      </c>
      <c r="F17" s="35" t="s">
        <v>181</v>
      </c>
    </row>
    <row r="18" spans="1:6" x14ac:dyDescent="0.3">
      <c r="A18" s="33">
        <v>12</v>
      </c>
      <c r="B18" s="34" t="s">
        <v>95</v>
      </c>
      <c r="C18" s="33" t="s">
        <v>182</v>
      </c>
      <c r="D18" s="33" t="s">
        <v>161</v>
      </c>
      <c r="E18" s="35" t="s">
        <v>183</v>
      </c>
      <c r="F18" s="35"/>
    </row>
    <row r="19" spans="1:6" x14ac:dyDescent="0.3">
      <c r="A19" s="33">
        <v>13</v>
      </c>
      <c r="B19" s="34" t="s">
        <v>99</v>
      </c>
      <c r="C19" s="33" t="s">
        <v>182</v>
      </c>
      <c r="D19" s="33" t="s">
        <v>161</v>
      </c>
      <c r="E19" s="35" t="s">
        <v>184</v>
      </c>
      <c r="F19" s="35"/>
    </row>
    <row r="20" spans="1:6" x14ac:dyDescent="0.3">
      <c r="A20" s="33">
        <v>14</v>
      </c>
      <c r="B20" s="34" t="s">
        <v>103</v>
      </c>
      <c r="C20" s="33" t="s">
        <v>182</v>
      </c>
      <c r="D20" s="33" t="s">
        <v>161</v>
      </c>
      <c r="E20" s="35" t="s">
        <v>185</v>
      </c>
      <c r="F20" s="35"/>
    </row>
    <row r="21" spans="1:6" x14ac:dyDescent="0.3">
      <c r="A21" s="33">
        <v>15</v>
      </c>
      <c r="B21" s="34" t="s">
        <v>106</v>
      </c>
      <c r="C21" s="33" t="s">
        <v>182</v>
      </c>
      <c r="D21" s="33" t="s">
        <v>161</v>
      </c>
      <c r="E21" s="35" t="s">
        <v>186</v>
      </c>
      <c r="F21" s="35"/>
    </row>
    <row r="22" spans="1:6" x14ac:dyDescent="0.3">
      <c r="A22" s="33">
        <v>16</v>
      </c>
      <c r="B22" s="34" t="s">
        <v>108</v>
      </c>
      <c r="C22" s="33" t="s">
        <v>182</v>
      </c>
      <c r="D22" s="33" t="s">
        <v>161</v>
      </c>
      <c r="E22" s="35" t="s">
        <v>187</v>
      </c>
      <c r="F22" s="35"/>
    </row>
    <row r="23" spans="1:6" x14ac:dyDescent="0.3">
      <c r="A23" s="33">
        <v>17</v>
      </c>
      <c r="B23" s="34" t="s">
        <v>112</v>
      </c>
      <c r="C23" s="33" t="s">
        <v>160</v>
      </c>
      <c r="D23" s="33" t="s">
        <v>161</v>
      </c>
      <c r="E23" s="35" t="s">
        <v>188</v>
      </c>
      <c r="F23" s="35"/>
    </row>
    <row r="24" spans="1:6" x14ac:dyDescent="0.3">
      <c r="A24" s="33">
        <v>18</v>
      </c>
      <c r="B24" s="34" t="s">
        <v>114</v>
      </c>
      <c r="C24" s="33" t="s">
        <v>160</v>
      </c>
      <c r="D24" s="33" t="s">
        <v>161</v>
      </c>
      <c r="E24" s="35" t="s">
        <v>189</v>
      </c>
      <c r="F24" s="35"/>
    </row>
    <row r="25" spans="1:6" x14ac:dyDescent="0.3">
      <c r="A25" s="33">
        <v>19</v>
      </c>
      <c r="B25" s="34" t="s">
        <v>117</v>
      </c>
      <c r="C25" s="33" t="s">
        <v>182</v>
      </c>
      <c r="D25" s="33" t="s">
        <v>161</v>
      </c>
      <c r="E25" s="35" t="s">
        <v>190</v>
      </c>
      <c r="F25" s="35"/>
    </row>
    <row r="26" spans="1:6" x14ac:dyDescent="0.3">
      <c r="A26" s="33">
        <v>20</v>
      </c>
      <c r="B26" s="34" t="s">
        <v>121</v>
      </c>
      <c r="C26" s="33" t="s">
        <v>182</v>
      </c>
      <c r="D26" s="33" t="s">
        <v>161</v>
      </c>
      <c r="E26" s="35" t="s">
        <v>191</v>
      </c>
      <c r="F26" s="35"/>
    </row>
    <row r="27" spans="1:6" x14ac:dyDescent="0.3">
      <c r="A27" s="33">
        <v>21</v>
      </c>
      <c r="B27" s="34" t="s">
        <v>124</v>
      </c>
      <c r="C27" s="33" t="s">
        <v>182</v>
      </c>
      <c r="D27" s="33" t="s">
        <v>161</v>
      </c>
      <c r="E27" s="35" t="s">
        <v>192</v>
      </c>
      <c r="F27" s="35"/>
    </row>
    <row r="28" spans="1:6" x14ac:dyDescent="0.3">
      <c r="A28" s="33">
        <v>22</v>
      </c>
      <c r="B28" s="34" t="s">
        <v>126</v>
      </c>
      <c r="C28" s="33" t="s">
        <v>182</v>
      </c>
      <c r="D28" s="33" t="s">
        <v>161</v>
      </c>
      <c r="E28" s="35" t="s">
        <v>193</v>
      </c>
      <c r="F28" s="35"/>
    </row>
    <row r="29" spans="1:6" x14ac:dyDescent="0.3">
      <c r="A29" s="33">
        <v>23</v>
      </c>
      <c r="B29" s="34" t="s">
        <v>130</v>
      </c>
      <c r="C29" s="33" t="s">
        <v>182</v>
      </c>
      <c r="D29" s="33" t="s">
        <v>161</v>
      </c>
      <c r="E29" s="35" t="s">
        <v>194</v>
      </c>
      <c r="F29" s="35"/>
    </row>
    <row r="30" spans="1:6" x14ac:dyDescent="0.3">
      <c r="A30" s="33">
        <v>24</v>
      </c>
      <c r="B30" s="34" t="s">
        <v>133</v>
      </c>
      <c r="C30" s="33" t="s">
        <v>160</v>
      </c>
      <c r="D30" s="33" t="s">
        <v>161</v>
      </c>
      <c r="E30" s="35" t="s">
        <v>195</v>
      </c>
      <c r="F30" s="35"/>
    </row>
    <row r="31" spans="1:6" x14ac:dyDescent="0.3">
      <c r="A31" s="33">
        <v>25</v>
      </c>
      <c r="B31" s="34" t="s">
        <v>137</v>
      </c>
      <c r="C31" s="33" t="s">
        <v>160</v>
      </c>
      <c r="D31" s="33" t="s">
        <v>161</v>
      </c>
      <c r="E31" s="35" t="s">
        <v>196</v>
      </c>
      <c r="F31" s="35"/>
    </row>
    <row r="32" spans="1:6" x14ac:dyDescent="0.3">
      <c r="A32" s="33">
        <v>26</v>
      </c>
      <c r="B32" s="34" t="s">
        <v>140</v>
      </c>
      <c r="C32" s="33" t="s">
        <v>160</v>
      </c>
      <c r="D32" s="33" t="s">
        <v>161</v>
      </c>
      <c r="E32" s="35" t="s">
        <v>197</v>
      </c>
      <c r="F32" s="35"/>
    </row>
    <row r="33" spans="1:6" x14ac:dyDescent="0.3">
      <c r="A33" s="33">
        <v>27</v>
      </c>
      <c r="B33" s="34" t="s">
        <v>144</v>
      </c>
      <c r="C33" s="33" t="s">
        <v>160</v>
      </c>
      <c r="D33" s="33" t="s">
        <v>161</v>
      </c>
      <c r="E33" s="35" t="s">
        <v>198</v>
      </c>
      <c r="F33" s="35"/>
    </row>
    <row r="34" spans="1:6" x14ac:dyDescent="0.3">
      <c r="A34" s="33">
        <v>28</v>
      </c>
      <c r="B34" s="34" t="s">
        <v>147</v>
      </c>
      <c r="C34" s="33" t="s">
        <v>160</v>
      </c>
      <c r="D34" s="33" t="s">
        <v>161</v>
      </c>
      <c r="E34" s="35" t="s">
        <v>199</v>
      </c>
      <c r="F34" s="35"/>
    </row>
    <row r="35" spans="1:6" x14ac:dyDescent="0.3">
      <c r="A35" s="33">
        <v>29</v>
      </c>
      <c r="B35" s="34" t="s">
        <v>151</v>
      </c>
      <c r="C35" s="33" t="s">
        <v>165</v>
      </c>
      <c r="D35" s="33" t="s">
        <v>161</v>
      </c>
      <c r="E35" s="35" t="s">
        <v>200</v>
      </c>
      <c r="F35" s="35"/>
    </row>
    <row r="36" spans="1:6" ht="26.4" x14ac:dyDescent="0.3">
      <c r="A36" s="33">
        <v>30</v>
      </c>
      <c r="B36" s="34" t="s">
        <v>51</v>
      </c>
      <c r="C36" s="33" t="s">
        <v>160</v>
      </c>
      <c r="D36" s="33" t="s">
        <v>161</v>
      </c>
      <c r="E36" s="35" t="s">
        <v>201</v>
      </c>
      <c r="F36" s="35" t="s">
        <v>202</v>
      </c>
    </row>
    <row r="37" spans="1:6" x14ac:dyDescent="0.3">
      <c r="A37" s="33">
        <v>31</v>
      </c>
      <c r="B37" s="34" t="s">
        <v>58</v>
      </c>
      <c r="C37" s="33" t="s">
        <v>160</v>
      </c>
      <c r="D37" s="33" t="s">
        <v>161</v>
      </c>
      <c r="E37" s="35" t="s">
        <v>203</v>
      </c>
      <c r="F37" s="35" t="s">
        <v>204</v>
      </c>
    </row>
    <row r="38" spans="1:6" x14ac:dyDescent="0.3">
      <c r="A38" s="36">
        <v>32</v>
      </c>
      <c r="B38" s="37" t="s">
        <v>205</v>
      </c>
      <c r="C38" s="36" t="s">
        <v>165</v>
      </c>
      <c r="D38" s="36" t="s">
        <v>206</v>
      </c>
      <c r="E38" s="38" t="s">
        <v>207</v>
      </c>
      <c r="F38" s="38"/>
    </row>
    <row r="39" spans="1:6" ht="26.4" x14ac:dyDescent="0.3">
      <c r="A39" s="36">
        <v>33</v>
      </c>
      <c r="B39" s="37" t="s">
        <v>208</v>
      </c>
      <c r="C39" s="36" t="s">
        <v>160</v>
      </c>
      <c r="D39" s="36" t="s">
        <v>206</v>
      </c>
      <c r="E39" s="38" t="s">
        <v>209</v>
      </c>
      <c r="F39" s="38" t="s">
        <v>210</v>
      </c>
    </row>
    <row r="40" spans="1:6" x14ac:dyDescent="0.3">
      <c r="A40" s="33">
        <v>34</v>
      </c>
      <c r="B40" s="34" t="s">
        <v>85</v>
      </c>
      <c r="C40" s="33" t="s">
        <v>160</v>
      </c>
      <c r="D40" s="33" t="s">
        <v>161</v>
      </c>
      <c r="E40" s="35" t="s">
        <v>211</v>
      </c>
      <c r="F40" s="35" t="s">
        <v>212</v>
      </c>
    </row>
    <row r="41" spans="1:6" x14ac:dyDescent="0.3">
      <c r="A41" s="36">
        <v>35</v>
      </c>
      <c r="B41" s="37" t="s">
        <v>213</v>
      </c>
      <c r="C41" s="36" t="s">
        <v>160</v>
      </c>
      <c r="D41" s="36" t="s">
        <v>206</v>
      </c>
      <c r="E41" s="38" t="s">
        <v>214</v>
      </c>
      <c r="F41" s="38" t="s">
        <v>215</v>
      </c>
    </row>
    <row r="42" spans="1:6" x14ac:dyDescent="0.3">
      <c r="A42" s="36">
        <v>36</v>
      </c>
      <c r="B42" s="37" t="s">
        <v>216</v>
      </c>
      <c r="C42" s="36" t="s">
        <v>160</v>
      </c>
      <c r="D42" s="36" t="s">
        <v>206</v>
      </c>
      <c r="E42" s="38" t="s">
        <v>217</v>
      </c>
      <c r="F42" s="38" t="s">
        <v>218</v>
      </c>
    </row>
    <row r="43" spans="1:6" ht="26.4" x14ac:dyDescent="0.3">
      <c r="A43" s="36">
        <v>37</v>
      </c>
      <c r="B43" s="37" t="s">
        <v>219</v>
      </c>
      <c r="C43" s="36" t="s">
        <v>160</v>
      </c>
      <c r="D43" s="36" t="s">
        <v>206</v>
      </c>
      <c r="E43" s="38" t="s">
        <v>220</v>
      </c>
      <c r="F43" s="38" t="s">
        <v>221</v>
      </c>
    </row>
    <row r="44" spans="1:6" ht="26.4" x14ac:dyDescent="0.3">
      <c r="A44" s="36">
        <v>38</v>
      </c>
      <c r="B44" s="37" t="s">
        <v>222</v>
      </c>
      <c r="C44" s="36" t="s">
        <v>179</v>
      </c>
      <c r="D44" s="36" t="s">
        <v>206</v>
      </c>
      <c r="E44" s="38" t="s">
        <v>223</v>
      </c>
      <c r="F44" s="38" t="s">
        <v>224</v>
      </c>
    </row>
    <row r="45" spans="1:6" x14ac:dyDescent="0.3">
      <c r="A45" s="36">
        <v>39</v>
      </c>
      <c r="B45" s="37" t="s">
        <v>225</v>
      </c>
      <c r="C45" s="36" t="s">
        <v>160</v>
      </c>
      <c r="D45" s="36" t="s">
        <v>206</v>
      </c>
      <c r="E45" s="38" t="s">
        <v>226</v>
      </c>
      <c r="F45" s="38" t="s">
        <v>227</v>
      </c>
    </row>
    <row r="46" spans="1:6" x14ac:dyDescent="0.3">
      <c r="A46" s="36">
        <v>40</v>
      </c>
      <c r="B46" s="37" t="s">
        <v>228</v>
      </c>
      <c r="C46" s="36" t="s">
        <v>160</v>
      </c>
      <c r="D46" s="36" t="s">
        <v>206</v>
      </c>
      <c r="E46" s="38" t="s">
        <v>229</v>
      </c>
      <c r="F46" s="38" t="s">
        <v>230</v>
      </c>
    </row>
    <row r="47" spans="1:6" ht="26.4" x14ac:dyDescent="0.3">
      <c r="A47" s="36">
        <v>41</v>
      </c>
      <c r="B47" s="37" t="s">
        <v>231</v>
      </c>
      <c r="C47" s="36" t="s">
        <v>182</v>
      </c>
      <c r="D47" s="36" t="s">
        <v>206</v>
      </c>
      <c r="E47" s="38" t="s">
        <v>232</v>
      </c>
      <c r="F47" s="38" t="s">
        <v>233</v>
      </c>
    </row>
    <row r="48" spans="1:6" x14ac:dyDescent="0.3">
      <c r="A48" s="36">
        <v>42</v>
      </c>
      <c r="B48" s="37" t="s">
        <v>234</v>
      </c>
      <c r="C48" s="36" t="s">
        <v>160</v>
      </c>
      <c r="D48" s="36" t="s">
        <v>206</v>
      </c>
      <c r="E48" s="38" t="s">
        <v>235</v>
      </c>
      <c r="F48" s="38" t="s">
        <v>236</v>
      </c>
    </row>
    <row r="49" spans="1:6" ht="26.4" x14ac:dyDescent="0.3">
      <c r="A49" s="36">
        <v>43</v>
      </c>
      <c r="B49" s="37" t="s">
        <v>237</v>
      </c>
      <c r="C49" s="36" t="s">
        <v>160</v>
      </c>
      <c r="D49" s="36" t="s">
        <v>206</v>
      </c>
      <c r="E49" s="38" t="s">
        <v>238</v>
      </c>
      <c r="F49" s="38" t="s">
        <v>239</v>
      </c>
    </row>
    <row r="50" spans="1:6" x14ac:dyDescent="0.3">
      <c r="A50" s="36">
        <v>44</v>
      </c>
      <c r="B50" s="37" t="s">
        <v>240</v>
      </c>
      <c r="C50" s="36" t="s">
        <v>160</v>
      </c>
      <c r="D50" s="36" t="s">
        <v>206</v>
      </c>
      <c r="E50" s="38" t="s">
        <v>241</v>
      </c>
      <c r="F50" s="38" t="s">
        <v>242</v>
      </c>
    </row>
    <row r="51" spans="1:6" x14ac:dyDescent="0.3">
      <c r="A51" s="36">
        <v>45</v>
      </c>
      <c r="B51" s="37" t="s">
        <v>243</v>
      </c>
      <c r="C51" s="36" t="s">
        <v>160</v>
      </c>
      <c r="D51" s="36" t="s">
        <v>206</v>
      </c>
      <c r="E51" s="38" t="s">
        <v>244</v>
      </c>
      <c r="F51" s="38" t="s">
        <v>245</v>
      </c>
    </row>
    <row r="52" spans="1:6" ht="26.4" x14ac:dyDescent="0.3">
      <c r="A52" s="36">
        <v>46</v>
      </c>
      <c r="B52" s="37" t="s">
        <v>246</v>
      </c>
      <c r="C52" s="36" t="s">
        <v>160</v>
      </c>
      <c r="D52" s="36" t="s">
        <v>206</v>
      </c>
      <c r="E52" s="38" t="s">
        <v>247</v>
      </c>
      <c r="F52" s="38" t="s">
        <v>248</v>
      </c>
    </row>
    <row r="53" spans="1:6" ht="26.4" x14ac:dyDescent="0.3">
      <c r="A53" s="36">
        <v>47</v>
      </c>
      <c r="B53" s="37" t="s">
        <v>249</v>
      </c>
      <c r="C53" s="36" t="s">
        <v>160</v>
      </c>
      <c r="D53" s="36" t="s">
        <v>206</v>
      </c>
      <c r="E53" s="38" t="s">
        <v>250</v>
      </c>
      <c r="F53" s="38" t="s">
        <v>251</v>
      </c>
    </row>
    <row r="54" spans="1:6" ht="26.4" x14ac:dyDescent="0.3">
      <c r="A54" s="36">
        <v>48</v>
      </c>
      <c r="B54" s="37" t="s">
        <v>252</v>
      </c>
      <c r="C54" s="36" t="s">
        <v>160</v>
      </c>
      <c r="D54" s="36" t="s">
        <v>206</v>
      </c>
      <c r="E54" s="38" t="s">
        <v>253</v>
      </c>
      <c r="F54" s="38" t="s">
        <v>254</v>
      </c>
    </row>
    <row r="55" spans="1:6" ht="26.4" x14ac:dyDescent="0.3">
      <c r="A55" s="36">
        <v>49</v>
      </c>
      <c r="B55" s="37" t="s">
        <v>255</v>
      </c>
      <c r="C55" s="36" t="s">
        <v>160</v>
      </c>
      <c r="D55" s="36" t="s">
        <v>206</v>
      </c>
      <c r="E55" s="38" t="s">
        <v>256</v>
      </c>
      <c r="F55" s="38"/>
    </row>
    <row r="56" spans="1:6" x14ac:dyDescent="0.3">
      <c r="A56" s="36">
        <v>50</v>
      </c>
      <c r="B56" s="37" t="s">
        <v>257</v>
      </c>
      <c r="C56" s="36" t="s">
        <v>179</v>
      </c>
      <c r="D56" s="36" t="s">
        <v>206</v>
      </c>
      <c r="E56" s="38" t="s">
        <v>258</v>
      </c>
      <c r="F56" s="38" t="s">
        <v>259</v>
      </c>
    </row>
    <row r="57" spans="1:6" ht="26.4" x14ac:dyDescent="0.3">
      <c r="A57" s="36">
        <v>51</v>
      </c>
      <c r="B57" s="37" t="s">
        <v>260</v>
      </c>
      <c r="C57" s="36" t="s">
        <v>160</v>
      </c>
      <c r="D57" s="36" t="s">
        <v>206</v>
      </c>
      <c r="E57" s="38" t="s">
        <v>261</v>
      </c>
      <c r="F57" s="38" t="s">
        <v>262</v>
      </c>
    </row>
    <row r="58" spans="1:6" ht="26.4" x14ac:dyDescent="0.3">
      <c r="A58" s="36">
        <v>52</v>
      </c>
      <c r="B58" s="37" t="s">
        <v>263</v>
      </c>
      <c r="C58" s="36" t="s">
        <v>160</v>
      </c>
      <c r="D58" s="36" t="s">
        <v>206</v>
      </c>
      <c r="E58" s="38" t="s">
        <v>264</v>
      </c>
      <c r="F58" s="38" t="s">
        <v>265</v>
      </c>
    </row>
    <row r="59" spans="1:6" x14ac:dyDescent="0.3">
      <c r="A59" s="36">
        <v>53</v>
      </c>
      <c r="B59" s="37" t="s">
        <v>266</v>
      </c>
      <c r="C59" s="36" t="s">
        <v>179</v>
      </c>
      <c r="D59" s="36" t="s">
        <v>206</v>
      </c>
      <c r="E59" s="38" t="s">
        <v>267</v>
      </c>
      <c r="F59" s="38" t="s">
        <v>268</v>
      </c>
    </row>
    <row r="60" spans="1:6" x14ac:dyDescent="0.3">
      <c r="A60" s="36">
        <v>54</v>
      </c>
      <c r="B60" s="37" t="s">
        <v>269</v>
      </c>
      <c r="C60" s="36" t="s">
        <v>182</v>
      </c>
      <c r="D60" s="36" t="s">
        <v>206</v>
      </c>
      <c r="E60" s="38" t="s">
        <v>270</v>
      </c>
      <c r="F60" s="38" t="s">
        <v>271</v>
      </c>
    </row>
    <row r="61" spans="1:6" x14ac:dyDescent="0.3">
      <c r="A61" s="36">
        <v>55</v>
      </c>
      <c r="B61" s="37" t="s">
        <v>272</v>
      </c>
      <c r="C61" s="36" t="s">
        <v>160</v>
      </c>
      <c r="D61" s="36" t="s">
        <v>206</v>
      </c>
      <c r="E61" s="38" t="s">
        <v>273</v>
      </c>
      <c r="F61" s="38" t="s">
        <v>274</v>
      </c>
    </row>
    <row r="62" spans="1:6" x14ac:dyDescent="0.3">
      <c r="A62" s="36">
        <v>56</v>
      </c>
      <c r="B62" s="37" t="s">
        <v>275</v>
      </c>
      <c r="C62" s="36" t="s">
        <v>160</v>
      </c>
      <c r="D62" s="36" t="s">
        <v>206</v>
      </c>
      <c r="E62" s="38" t="s">
        <v>276</v>
      </c>
      <c r="F62" s="38" t="s">
        <v>277</v>
      </c>
    </row>
    <row r="63" spans="1:6" x14ac:dyDescent="0.3">
      <c r="A63" s="36">
        <v>57</v>
      </c>
      <c r="B63" s="37" t="s">
        <v>278</v>
      </c>
      <c r="C63" s="36" t="s">
        <v>160</v>
      </c>
      <c r="D63" s="36" t="s">
        <v>206</v>
      </c>
      <c r="E63" s="38" t="s">
        <v>279</v>
      </c>
      <c r="F63" s="38" t="s">
        <v>280</v>
      </c>
    </row>
    <row r="64" spans="1:6" x14ac:dyDescent="0.3">
      <c r="A64" s="36">
        <v>58</v>
      </c>
      <c r="B64" s="37" t="s">
        <v>281</v>
      </c>
      <c r="C64" s="36" t="s">
        <v>160</v>
      </c>
      <c r="D64" s="36" t="s">
        <v>206</v>
      </c>
      <c r="E64" s="38" t="s">
        <v>282</v>
      </c>
      <c r="F64" s="38" t="s">
        <v>283</v>
      </c>
    </row>
    <row r="65" spans="1:6" x14ac:dyDescent="0.3">
      <c r="A65" s="36">
        <v>59</v>
      </c>
      <c r="B65" s="37" t="s">
        <v>284</v>
      </c>
      <c r="C65" s="36" t="s">
        <v>160</v>
      </c>
      <c r="D65" s="36" t="s">
        <v>206</v>
      </c>
      <c r="E65" s="38" t="s">
        <v>285</v>
      </c>
      <c r="F65" s="38" t="s">
        <v>286</v>
      </c>
    </row>
    <row r="66" spans="1:6" ht="26.4" x14ac:dyDescent="0.3">
      <c r="A66" s="36">
        <v>60</v>
      </c>
      <c r="B66" s="37" t="s">
        <v>287</v>
      </c>
      <c r="C66" s="36" t="s">
        <v>160</v>
      </c>
      <c r="D66" s="36" t="s">
        <v>206</v>
      </c>
      <c r="E66" s="38" t="s">
        <v>288</v>
      </c>
      <c r="F66" s="38" t="s">
        <v>289</v>
      </c>
    </row>
    <row r="67" spans="1:6" ht="26.4" x14ac:dyDescent="0.3">
      <c r="A67" s="36">
        <v>61</v>
      </c>
      <c r="B67" s="37" t="s">
        <v>290</v>
      </c>
      <c r="C67" s="36" t="s">
        <v>160</v>
      </c>
      <c r="D67" s="36" t="s">
        <v>206</v>
      </c>
      <c r="E67" s="38" t="s">
        <v>291</v>
      </c>
      <c r="F67" s="38" t="s">
        <v>292</v>
      </c>
    </row>
    <row r="68" spans="1:6" ht="26.4" x14ac:dyDescent="0.3">
      <c r="A68" s="36">
        <v>62</v>
      </c>
      <c r="B68" s="37" t="s">
        <v>293</v>
      </c>
      <c r="C68" s="36" t="s">
        <v>160</v>
      </c>
      <c r="D68" s="36" t="s">
        <v>206</v>
      </c>
      <c r="E68" s="38" t="s">
        <v>294</v>
      </c>
      <c r="F68" s="38" t="s">
        <v>295</v>
      </c>
    </row>
    <row r="69" spans="1:6" x14ac:dyDescent="0.3">
      <c r="A69" s="36">
        <v>63</v>
      </c>
      <c r="B69" s="37" t="s">
        <v>296</v>
      </c>
      <c r="C69" s="36" t="s">
        <v>160</v>
      </c>
      <c r="D69" s="36" t="s">
        <v>206</v>
      </c>
      <c r="E69" s="38" t="s">
        <v>297</v>
      </c>
      <c r="F69" s="38" t="s">
        <v>298</v>
      </c>
    </row>
    <row r="71" spans="1:6" x14ac:dyDescent="0.3">
      <c r="A71" s="39" t="s">
        <v>299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1"/>
  <sheetViews>
    <sheetView workbookViewId="0"/>
  </sheetViews>
  <sheetFormatPr defaultRowHeight="14.4" x14ac:dyDescent="0.3"/>
  <cols>
    <col min="1" max="1" width="24" customWidth="1"/>
    <col min="2" max="2" width="34" customWidth="1"/>
    <col min="3" max="3" width="74" customWidth="1"/>
  </cols>
  <sheetData>
    <row r="1" spans="1:3" ht="17.399999999999999" x14ac:dyDescent="0.3">
      <c r="A1" s="1" t="s">
        <v>300</v>
      </c>
    </row>
    <row r="2" spans="1:3" x14ac:dyDescent="0.3">
      <c r="A2" s="2" t="s">
        <v>301</v>
      </c>
    </row>
    <row r="4" spans="1:3" ht="30" customHeight="1" x14ac:dyDescent="0.3">
      <c r="A4" s="6" t="s">
        <v>35</v>
      </c>
      <c r="B4" s="6" t="s">
        <v>302</v>
      </c>
      <c r="C4" s="6" t="s">
        <v>303</v>
      </c>
    </row>
    <row r="5" spans="1:3" x14ac:dyDescent="0.3">
      <c r="A5" s="33" t="s">
        <v>278</v>
      </c>
      <c r="B5" s="40" t="s">
        <v>304</v>
      </c>
      <c r="C5" s="35" t="s">
        <v>305</v>
      </c>
    </row>
    <row r="6" spans="1:3" x14ac:dyDescent="0.3">
      <c r="A6" s="33" t="s">
        <v>278</v>
      </c>
      <c r="B6" s="40" t="s">
        <v>306</v>
      </c>
      <c r="C6" s="35" t="s">
        <v>245</v>
      </c>
    </row>
    <row r="7" spans="1:3" x14ac:dyDescent="0.3">
      <c r="A7" s="33" t="s">
        <v>278</v>
      </c>
      <c r="B7" s="40" t="s">
        <v>280</v>
      </c>
      <c r="C7" s="35" t="s">
        <v>307</v>
      </c>
    </row>
    <row r="8" spans="1:3" x14ac:dyDescent="0.3">
      <c r="A8" s="33" t="s">
        <v>278</v>
      </c>
      <c r="B8" s="40" t="s">
        <v>308</v>
      </c>
      <c r="C8" s="35" t="s">
        <v>309</v>
      </c>
    </row>
    <row r="9" spans="1:3" x14ac:dyDescent="0.3">
      <c r="A9" s="33" t="s">
        <v>278</v>
      </c>
      <c r="B9" s="40" t="s">
        <v>310</v>
      </c>
      <c r="C9" s="35" t="s">
        <v>311</v>
      </c>
    </row>
    <row r="10" spans="1:3" x14ac:dyDescent="0.3">
      <c r="A10" s="33" t="s">
        <v>278</v>
      </c>
      <c r="B10" s="40" t="s">
        <v>312</v>
      </c>
      <c r="C10" s="35" t="s">
        <v>313</v>
      </c>
    </row>
    <row r="11" spans="1:3" x14ac:dyDescent="0.3">
      <c r="A11" s="33" t="s">
        <v>278</v>
      </c>
      <c r="B11" s="40" t="s">
        <v>314</v>
      </c>
      <c r="C11" s="35" t="s">
        <v>315</v>
      </c>
    </row>
    <row r="12" spans="1:3" x14ac:dyDescent="0.3">
      <c r="A12" s="33" t="s">
        <v>278</v>
      </c>
      <c r="B12" s="40" t="s">
        <v>316</v>
      </c>
      <c r="C12" s="35" t="s">
        <v>317</v>
      </c>
    </row>
    <row r="13" spans="1:3" x14ac:dyDescent="0.3">
      <c r="A13" s="33" t="s">
        <v>278</v>
      </c>
      <c r="B13" s="40" t="s">
        <v>318</v>
      </c>
      <c r="C13" s="35" t="s">
        <v>319</v>
      </c>
    </row>
    <row r="14" spans="1:3" x14ac:dyDescent="0.3">
      <c r="A14" s="33" t="s">
        <v>293</v>
      </c>
      <c r="B14" s="40" t="s">
        <v>239</v>
      </c>
      <c r="C14" s="35" t="s">
        <v>320</v>
      </c>
    </row>
    <row r="15" spans="1:3" x14ac:dyDescent="0.3">
      <c r="A15" s="33" t="s">
        <v>293</v>
      </c>
      <c r="B15" s="40" t="s">
        <v>321</v>
      </c>
      <c r="C15" s="35" t="s">
        <v>322</v>
      </c>
    </row>
    <row r="16" spans="1:3" x14ac:dyDescent="0.3">
      <c r="A16" s="33" t="s">
        <v>293</v>
      </c>
      <c r="B16" s="40" t="s">
        <v>295</v>
      </c>
      <c r="C16" s="35" t="s">
        <v>323</v>
      </c>
    </row>
    <row r="17" spans="1:3" x14ac:dyDescent="0.3">
      <c r="A17" s="33" t="s">
        <v>293</v>
      </c>
      <c r="B17" s="40" t="s">
        <v>324</v>
      </c>
      <c r="C17" s="35" t="s">
        <v>325</v>
      </c>
    </row>
    <row r="18" spans="1:3" x14ac:dyDescent="0.3">
      <c r="A18" s="33" t="s">
        <v>293</v>
      </c>
      <c r="B18" s="40" t="s">
        <v>326</v>
      </c>
      <c r="C18" s="35" t="s">
        <v>327</v>
      </c>
    </row>
    <row r="19" spans="1:3" x14ac:dyDescent="0.3">
      <c r="A19" s="33" t="s">
        <v>293</v>
      </c>
      <c r="B19" s="40" t="s">
        <v>328</v>
      </c>
      <c r="C19" s="35" t="s">
        <v>329</v>
      </c>
    </row>
    <row r="20" spans="1:3" x14ac:dyDescent="0.3">
      <c r="A20" s="33" t="s">
        <v>293</v>
      </c>
      <c r="B20" s="40" t="s">
        <v>330</v>
      </c>
      <c r="C20" s="35" t="s">
        <v>331</v>
      </c>
    </row>
    <row r="21" spans="1:3" ht="26.4" x14ac:dyDescent="0.3">
      <c r="A21" s="33" t="s">
        <v>293</v>
      </c>
      <c r="B21" s="40" t="s">
        <v>332</v>
      </c>
      <c r="C21" s="35" t="s">
        <v>333</v>
      </c>
    </row>
    <row r="22" spans="1:3" x14ac:dyDescent="0.3">
      <c r="A22" s="33" t="s">
        <v>293</v>
      </c>
      <c r="B22" s="40" t="s">
        <v>334</v>
      </c>
      <c r="C22" s="35" t="s">
        <v>335</v>
      </c>
    </row>
    <row r="23" spans="1:3" ht="26.4" x14ac:dyDescent="0.3">
      <c r="A23" s="33" t="s">
        <v>293</v>
      </c>
      <c r="B23" s="40" t="s">
        <v>336</v>
      </c>
      <c r="C23" s="35" t="s">
        <v>337</v>
      </c>
    </row>
    <row r="24" spans="1:3" x14ac:dyDescent="0.3">
      <c r="A24" s="33" t="s">
        <v>293</v>
      </c>
      <c r="B24" s="40" t="s">
        <v>338</v>
      </c>
      <c r="C24" s="35" t="s">
        <v>339</v>
      </c>
    </row>
    <row r="25" spans="1:3" x14ac:dyDescent="0.3">
      <c r="A25" s="33" t="s">
        <v>287</v>
      </c>
      <c r="B25" s="40" t="s">
        <v>340</v>
      </c>
      <c r="C25" s="35" t="s">
        <v>341</v>
      </c>
    </row>
    <row r="26" spans="1:3" x14ac:dyDescent="0.3">
      <c r="A26" s="33" t="s">
        <v>287</v>
      </c>
      <c r="B26" s="40" t="s">
        <v>342</v>
      </c>
      <c r="C26" s="35" t="s">
        <v>343</v>
      </c>
    </row>
    <row r="27" spans="1:3" x14ac:dyDescent="0.3">
      <c r="A27" s="33" t="s">
        <v>287</v>
      </c>
      <c r="B27" s="40" t="s">
        <v>344</v>
      </c>
      <c r="C27" s="35" t="s">
        <v>345</v>
      </c>
    </row>
    <row r="28" spans="1:3" x14ac:dyDescent="0.3">
      <c r="A28" s="33" t="s">
        <v>287</v>
      </c>
      <c r="B28" s="40" t="s">
        <v>346</v>
      </c>
      <c r="C28" s="35" t="s">
        <v>347</v>
      </c>
    </row>
    <row r="29" spans="1:3" x14ac:dyDescent="0.3">
      <c r="A29" s="33" t="s">
        <v>287</v>
      </c>
      <c r="B29" s="40" t="s">
        <v>348</v>
      </c>
      <c r="C29" s="35" t="s">
        <v>349</v>
      </c>
    </row>
    <row r="30" spans="1:3" x14ac:dyDescent="0.3">
      <c r="A30" s="33" t="s">
        <v>287</v>
      </c>
      <c r="B30" s="40" t="s">
        <v>350</v>
      </c>
      <c r="C30" s="35" t="s">
        <v>351</v>
      </c>
    </row>
    <row r="31" spans="1:3" x14ac:dyDescent="0.3">
      <c r="A31" s="33" t="s">
        <v>287</v>
      </c>
      <c r="B31" s="40" t="s">
        <v>352</v>
      </c>
      <c r="C31" s="35" t="s">
        <v>353</v>
      </c>
    </row>
    <row r="32" spans="1:3" x14ac:dyDescent="0.3">
      <c r="A32" s="33" t="s">
        <v>287</v>
      </c>
      <c r="B32" s="40" t="s">
        <v>354</v>
      </c>
      <c r="C32" s="35" t="s">
        <v>355</v>
      </c>
    </row>
    <row r="33" spans="1:3" x14ac:dyDescent="0.3">
      <c r="A33" s="33" t="s">
        <v>287</v>
      </c>
      <c r="B33" s="40" t="s">
        <v>356</v>
      </c>
      <c r="C33" s="35" t="s">
        <v>357</v>
      </c>
    </row>
    <row r="34" spans="1:3" x14ac:dyDescent="0.3">
      <c r="A34" s="33" t="s">
        <v>287</v>
      </c>
      <c r="B34" s="40" t="s">
        <v>358</v>
      </c>
      <c r="C34" s="35" t="s">
        <v>359</v>
      </c>
    </row>
    <row r="35" spans="1:3" x14ac:dyDescent="0.3">
      <c r="A35" s="33" t="s">
        <v>287</v>
      </c>
      <c r="B35" s="40" t="s">
        <v>360</v>
      </c>
      <c r="C35" s="35" t="s">
        <v>361</v>
      </c>
    </row>
    <row r="36" spans="1:3" x14ac:dyDescent="0.3">
      <c r="A36" s="33" t="s">
        <v>287</v>
      </c>
      <c r="B36" s="40" t="s">
        <v>362</v>
      </c>
      <c r="C36" s="35" t="s">
        <v>363</v>
      </c>
    </row>
    <row r="37" spans="1:3" x14ac:dyDescent="0.3">
      <c r="A37" s="33" t="s">
        <v>287</v>
      </c>
      <c r="B37" s="40" t="s">
        <v>364</v>
      </c>
      <c r="C37" s="35" t="s">
        <v>365</v>
      </c>
    </row>
    <row r="38" spans="1:3" x14ac:dyDescent="0.3">
      <c r="A38" s="33" t="s">
        <v>287</v>
      </c>
      <c r="B38" s="40" t="s">
        <v>366</v>
      </c>
      <c r="C38" s="35" t="s">
        <v>367</v>
      </c>
    </row>
    <row r="39" spans="1:3" x14ac:dyDescent="0.3">
      <c r="A39" s="33" t="s">
        <v>287</v>
      </c>
      <c r="B39" s="40" t="s">
        <v>368</v>
      </c>
      <c r="C39" s="35" t="s">
        <v>369</v>
      </c>
    </row>
    <row r="40" spans="1:3" x14ac:dyDescent="0.3">
      <c r="A40" s="33" t="s">
        <v>287</v>
      </c>
      <c r="B40" s="40" t="s">
        <v>370</v>
      </c>
      <c r="C40" s="35" t="s">
        <v>371</v>
      </c>
    </row>
    <row r="41" spans="1:3" x14ac:dyDescent="0.3">
      <c r="A41" s="33" t="s">
        <v>287</v>
      </c>
      <c r="B41" s="40" t="s">
        <v>372</v>
      </c>
      <c r="C41" s="35" t="s">
        <v>373</v>
      </c>
    </row>
    <row r="42" spans="1:3" x14ac:dyDescent="0.3">
      <c r="A42" s="33" t="s">
        <v>287</v>
      </c>
      <c r="B42" s="40" t="s">
        <v>374</v>
      </c>
      <c r="C42" s="35" t="s">
        <v>375</v>
      </c>
    </row>
    <row r="43" spans="1:3" x14ac:dyDescent="0.3">
      <c r="A43" s="33" t="s">
        <v>287</v>
      </c>
      <c r="B43" s="40" t="s">
        <v>376</v>
      </c>
      <c r="C43" s="35" t="s">
        <v>377</v>
      </c>
    </row>
    <row r="44" spans="1:3" x14ac:dyDescent="0.3">
      <c r="A44" s="33" t="s">
        <v>287</v>
      </c>
      <c r="B44" s="40" t="s">
        <v>378</v>
      </c>
      <c r="C44" s="35" t="s">
        <v>379</v>
      </c>
    </row>
    <row r="45" spans="1:3" x14ac:dyDescent="0.3">
      <c r="A45" s="33" t="s">
        <v>287</v>
      </c>
      <c r="B45" s="40" t="s">
        <v>380</v>
      </c>
      <c r="C45" s="35" t="s">
        <v>381</v>
      </c>
    </row>
    <row r="46" spans="1:3" x14ac:dyDescent="0.3">
      <c r="A46" s="33" t="s">
        <v>287</v>
      </c>
      <c r="B46" s="40" t="s">
        <v>382</v>
      </c>
      <c r="C46" s="35" t="s">
        <v>383</v>
      </c>
    </row>
    <row r="47" spans="1:3" x14ac:dyDescent="0.3">
      <c r="A47" s="33" t="s">
        <v>287</v>
      </c>
      <c r="B47" s="40" t="s">
        <v>384</v>
      </c>
      <c r="C47" s="35" t="s">
        <v>385</v>
      </c>
    </row>
    <row r="48" spans="1:3" x14ac:dyDescent="0.3">
      <c r="A48" s="33" t="s">
        <v>287</v>
      </c>
      <c r="B48" s="40" t="s">
        <v>386</v>
      </c>
      <c r="C48" s="35" t="s">
        <v>387</v>
      </c>
    </row>
    <row r="49" spans="1:3" x14ac:dyDescent="0.3">
      <c r="A49" s="33" t="s">
        <v>287</v>
      </c>
      <c r="B49" s="40" t="s">
        <v>388</v>
      </c>
      <c r="C49" s="35" t="s">
        <v>389</v>
      </c>
    </row>
    <row r="50" spans="1:3" x14ac:dyDescent="0.3">
      <c r="A50" s="33" t="s">
        <v>287</v>
      </c>
      <c r="B50" s="40" t="s">
        <v>390</v>
      </c>
      <c r="C50" s="35" t="s">
        <v>391</v>
      </c>
    </row>
    <row r="51" spans="1:3" x14ac:dyDescent="0.3">
      <c r="A51" s="33" t="s">
        <v>287</v>
      </c>
      <c r="B51" s="40" t="s">
        <v>392</v>
      </c>
      <c r="C51" s="35" t="s">
        <v>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2"/>
  <sheetViews>
    <sheetView workbookViewId="0">
      <pane ySplit="4" topLeftCell="A5" activePane="bottomLeft" state="frozen"/>
      <selection pane="bottomLeft"/>
    </sheetView>
  </sheetViews>
  <sheetFormatPr defaultRowHeight="14.4" x14ac:dyDescent="0.3"/>
  <cols>
    <col min="1" max="1" width="5" customWidth="1"/>
    <col min="2" max="2" width="30" customWidth="1"/>
    <col min="3" max="4" width="62" customWidth="1"/>
  </cols>
  <sheetData>
    <row r="1" spans="1:4" ht="17.399999999999999" x14ac:dyDescent="0.3">
      <c r="A1" s="1" t="s">
        <v>394</v>
      </c>
    </row>
    <row r="2" spans="1:4" x14ac:dyDescent="0.3">
      <c r="A2" s="2" t="s">
        <v>395</v>
      </c>
    </row>
    <row r="4" spans="1:4" ht="30" customHeight="1" x14ac:dyDescent="0.3">
      <c r="A4" s="6" t="s">
        <v>34</v>
      </c>
      <c r="B4" s="6" t="s">
        <v>396</v>
      </c>
      <c r="C4" s="6" t="s">
        <v>397</v>
      </c>
      <c r="D4" s="6" t="s">
        <v>398</v>
      </c>
    </row>
    <row r="5" spans="1:4" ht="58.05" customHeight="1" x14ac:dyDescent="0.3">
      <c r="A5" s="41">
        <v>1</v>
      </c>
      <c r="B5" s="42" t="s">
        <v>399</v>
      </c>
      <c r="C5" s="41" t="s">
        <v>400</v>
      </c>
      <c r="D5" s="41" t="s">
        <v>401</v>
      </c>
    </row>
    <row r="6" spans="1:4" ht="58.05" customHeight="1" x14ac:dyDescent="0.3">
      <c r="A6" s="41">
        <v>2</v>
      </c>
      <c r="B6" s="42" t="s">
        <v>402</v>
      </c>
      <c r="C6" s="41" t="s">
        <v>403</v>
      </c>
      <c r="D6" s="41" t="s">
        <v>404</v>
      </c>
    </row>
    <row r="7" spans="1:4" ht="58.05" customHeight="1" x14ac:dyDescent="0.3">
      <c r="A7" s="41">
        <v>3</v>
      </c>
      <c r="B7" s="42" t="s">
        <v>405</v>
      </c>
      <c r="C7" s="41" t="s">
        <v>406</v>
      </c>
      <c r="D7" s="41" t="s">
        <v>407</v>
      </c>
    </row>
    <row r="8" spans="1:4" ht="58.05" customHeight="1" x14ac:dyDescent="0.3">
      <c r="A8" s="41">
        <v>4</v>
      </c>
      <c r="B8" s="42" t="s">
        <v>408</v>
      </c>
      <c r="C8" s="41" t="s">
        <v>409</v>
      </c>
      <c r="D8" s="41" t="s">
        <v>410</v>
      </c>
    </row>
    <row r="9" spans="1:4" ht="58.05" customHeight="1" x14ac:dyDescent="0.3">
      <c r="A9" s="41">
        <v>5</v>
      </c>
      <c r="B9" s="42" t="s">
        <v>411</v>
      </c>
      <c r="C9" s="41" t="s">
        <v>412</v>
      </c>
      <c r="D9" s="41" t="s">
        <v>413</v>
      </c>
    </row>
    <row r="10" spans="1:4" ht="58.05" customHeight="1" x14ac:dyDescent="0.3">
      <c r="A10" s="41">
        <v>6</v>
      </c>
      <c r="B10" s="42" t="s">
        <v>414</v>
      </c>
      <c r="C10" s="41" t="s">
        <v>415</v>
      </c>
      <c r="D10" s="41" t="s">
        <v>416</v>
      </c>
    </row>
    <row r="11" spans="1:4" ht="58.05" customHeight="1" x14ac:dyDescent="0.3">
      <c r="A11" s="41">
        <v>7</v>
      </c>
      <c r="B11" s="42" t="s">
        <v>417</v>
      </c>
      <c r="C11" s="41" t="s">
        <v>418</v>
      </c>
      <c r="D11" s="41" t="s">
        <v>419</v>
      </c>
    </row>
    <row r="12" spans="1:4" ht="58.05" customHeight="1" x14ac:dyDescent="0.3">
      <c r="A12" s="41">
        <v>8</v>
      </c>
      <c r="B12" s="42" t="s">
        <v>420</v>
      </c>
      <c r="C12" s="41" t="s">
        <v>421</v>
      </c>
      <c r="D12" s="41" t="s">
        <v>422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5"/>
  <sheetViews>
    <sheetView workbookViewId="0"/>
  </sheetViews>
  <sheetFormatPr defaultRowHeight="14.4" x14ac:dyDescent="0.3"/>
  <cols>
    <col min="1" max="1" width="30" customWidth="1"/>
    <col min="2" max="3" width="52" customWidth="1"/>
    <col min="4" max="4" width="26" customWidth="1"/>
    <col min="5" max="5" width="24" customWidth="1"/>
  </cols>
  <sheetData>
    <row r="1" spans="1:5" ht="17.399999999999999" x14ac:dyDescent="0.3">
      <c r="A1" s="1" t="s">
        <v>423</v>
      </c>
    </row>
    <row r="2" spans="1:5" x14ac:dyDescent="0.3">
      <c r="A2" s="2" t="s">
        <v>424</v>
      </c>
    </row>
    <row r="4" spans="1:5" ht="30" customHeight="1" x14ac:dyDescent="0.3">
      <c r="A4" s="6" t="s">
        <v>425</v>
      </c>
      <c r="B4" s="6" t="s">
        <v>426</v>
      </c>
      <c r="C4" s="6" t="s">
        <v>427</v>
      </c>
      <c r="D4" s="6" t="s">
        <v>428</v>
      </c>
      <c r="E4" s="6" t="s">
        <v>429</v>
      </c>
    </row>
    <row r="5" spans="1:5" ht="34.049999999999997" customHeight="1" x14ac:dyDescent="0.3">
      <c r="A5" s="43" t="s">
        <v>430</v>
      </c>
      <c r="B5" s="43" t="s">
        <v>431</v>
      </c>
      <c r="C5" s="35" t="s">
        <v>432</v>
      </c>
      <c r="D5" s="35" t="s">
        <v>433</v>
      </c>
      <c r="E5" s="35" t="s">
        <v>434</v>
      </c>
    </row>
    <row r="6" spans="1:5" ht="34.049999999999997" customHeight="1" x14ac:dyDescent="0.3">
      <c r="A6" s="43" t="s">
        <v>435</v>
      </c>
      <c r="B6" s="43" t="s">
        <v>436</v>
      </c>
      <c r="C6" s="35" t="s">
        <v>437</v>
      </c>
      <c r="D6" s="35" t="s">
        <v>438</v>
      </c>
      <c r="E6" s="35" t="s">
        <v>439</v>
      </c>
    </row>
    <row r="7" spans="1:5" ht="34.049999999999997" customHeight="1" x14ac:dyDescent="0.3">
      <c r="A7" s="43" t="s">
        <v>440</v>
      </c>
      <c r="B7" s="43" t="s">
        <v>441</v>
      </c>
      <c r="C7" s="35" t="s">
        <v>442</v>
      </c>
      <c r="D7" s="35" t="s">
        <v>443</v>
      </c>
      <c r="E7" s="35" t="s">
        <v>444</v>
      </c>
    </row>
    <row r="9" spans="1:5" ht="15.6" x14ac:dyDescent="0.3">
      <c r="A9" s="44" t="s">
        <v>445</v>
      </c>
    </row>
    <row r="10" spans="1:5" ht="30" customHeight="1" x14ac:dyDescent="0.3">
      <c r="A10" s="6" t="s">
        <v>446</v>
      </c>
      <c r="B10" s="6" t="s">
        <v>447</v>
      </c>
      <c r="C10" s="6" t="s">
        <v>448</v>
      </c>
    </row>
    <row r="11" spans="1:5" ht="54" customHeight="1" x14ac:dyDescent="0.3">
      <c r="A11" s="42" t="s">
        <v>449</v>
      </c>
      <c r="B11" s="41" t="s">
        <v>450</v>
      </c>
      <c r="C11" s="41" t="s">
        <v>451</v>
      </c>
    </row>
    <row r="12" spans="1:5" ht="54" customHeight="1" x14ac:dyDescent="0.3">
      <c r="A12" s="42" t="s">
        <v>452</v>
      </c>
      <c r="B12" s="41" t="s">
        <v>453</v>
      </c>
      <c r="C12" s="41" t="s">
        <v>454</v>
      </c>
    </row>
    <row r="13" spans="1:5" ht="54" customHeight="1" x14ac:dyDescent="0.3">
      <c r="A13" s="42" t="s">
        <v>455</v>
      </c>
      <c r="B13" s="41" t="s">
        <v>456</v>
      </c>
      <c r="C13" s="41" t="s">
        <v>457</v>
      </c>
    </row>
    <row r="14" spans="1:5" ht="54" customHeight="1" x14ac:dyDescent="0.3">
      <c r="A14" s="42" t="s">
        <v>458</v>
      </c>
      <c r="B14" s="41" t="s">
        <v>459</v>
      </c>
      <c r="C14" s="41" t="s">
        <v>460</v>
      </c>
    </row>
    <row r="15" spans="1:5" ht="54" customHeight="1" x14ac:dyDescent="0.3">
      <c r="A15" s="42" t="s">
        <v>461</v>
      </c>
      <c r="B15" s="41" t="s">
        <v>462</v>
      </c>
      <c r="C15" s="41" t="s">
        <v>463</v>
      </c>
    </row>
    <row r="17" spans="1:3" ht="15.6" x14ac:dyDescent="0.3">
      <c r="A17" s="45" t="s">
        <v>464</v>
      </c>
    </row>
    <row r="18" spans="1:3" ht="27" x14ac:dyDescent="0.3">
      <c r="A18" s="46" t="s">
        <v>465</v>
      </c>
    </row>
    <row r="19" spans="1:3" ht="40.200000000000003" x14ac:dyDescent="0.3">
      <c r="A19" s="46" t="s">
        <v>466</v>
      </c>
    </row>
    <row r="20" spans="1:3" ht="40.200000000000003" x14ac:dyDescent="0.3">
      <c r="A20" s="46" t="s">
        <v>467</v>
      </c>
    </row>
    <row r="21" spans="1:3" ht="27" x14ac:dyDescent="0.3">
      <c r="A21" s="46" t="s">
        <v>468</v>
      </c>
    </row>
    <row r="22" spans="1:3" ht="40.200000000000003" x14ac:dyDescent="0.3">
      <c r="A22" s="46" t="s">
        <v>469</v>
      </c>
    </row>
    <row r="24" spans="1:3" x14ac:dyDescent="0.3">
      <c r="A24" s="47" t="s">
        <v>470</v>
      </c>
    </row>
    <row r="25" spans="1:3" ht="60" customHeight="1" x14ac:dyDescent="0.3">
      <c r="A25" s="56" t="s">
        <v>471</v>
      </c>
      <c r="B25" s="57"/>
      <c r="C25" s="57"/>
    </row>
  </sheetData>
  <mergeCells count="1">
    <mergeCell ref="A25:C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9"/>
  <sheetViews>
    <sheetView workbookViewId="0"/>
  </sheetViews>
  <sheetFormatPr defaultRowHeight="14.4" x14ac:dyDescent="0.3"/>
  <cols>
    <col min="1" max="1" width="34" customWidth="1"/>
    <col min="2" max="2" width="14" customWidth="1"/>
    <col min="3" max="3" width="12" customWidth="1"/>
    <col min="4" max="4" width="46" customWidth="1"/>
  </cols>
  <sheetData>
    <row r="1" spans="1:4" ht="17.399999999999999" x14ac:dyDescent="0.3">
      <c r="A1" s="1" t="s">
        <v>472</v>
      </c>
    </row>
    <row r="2" spans="1:4" x14ac:dyDescent="0.3">
      <c r="A2" s="2" t="s">
        <v>473</v>
      </c>
    </row>
    <row r="4" spans="1:4" ht="30" customHeight="1" x14ac:dyDescent="0.3">
      <c r="A4" s="6" t="s">
        <v>474</v>
      </c>
      <c r="B4" s="6" t="s">
        <v>55</v>
      </c>
      <c r="C4" s="6" t="s">
        <v>53</v>
      </c>
      <c r="D4" s="6" t="s">
        <v>475</v>
      </c>
    </row>
    <row r="5" spans="1:4" x14ac:dyDescent="0.3">
      <c r="A5" s="48" t="s">
        <v>204</v>
      </c>
      <c r="B5" s="7" t="s">
        <v>476</v>
      </c>
      <c r="C5" s="7" t="s">
        <v>40</v>
      </c>
      <c r="D5" s="7" t="s">
        <v>204</v>
      </c>
    </row>
    <row r="6" spans="1:4" x14ac:dyDescent="0.3">
      <c r="A6" s="7" t="s">
        <v>204</v>
      </c>
      <c r="B6" s="7" t="s">
        <v>477</v>
      </c>
      <c r="C6" s="7" t="s">
        <v>42</v>
      </c>
      <c r="D6" s="7" t="s">
        <v>204</v>
      </c>
    </row>
    <row r="7" spans="1:4" x14ac:dyDescent="0.3">
      <c r="A7" s="49" t="s">
        <v>478</v>
      </c>
      <c r="B7" s="50" t="s">
        <v>479</v>
      </c>
      <c r="C7" s="50" t="s">
        <v>41</v>
      </c>
      <c r="D7" s="50" t="s">
        <v>480</v>
      </c>
    </row>
    <row r="8" spans="1:4" x14ac:dyDescent="0.3">
      <c r="A8" s="7" t="s">
        <v>478</v>
      </c>
      <c r="B8" s="7" t="s">
        <v>481</v>
      </c>
      <c r="C8" s="7" t="s">
        <v>42</v>
      </c>
      <c r="D8" s="7" t="s">
        <v>478</v>
      </c>
    </row>
    <row r="9" spans="1:4" x14ac:dyDescent="0.3">
      <c r="A9" s="49" t="s">
        <v>482</v>
      </c>
      <c r="B9" s="50" t="s">
        <v>483</v>
      </c>
      <c r="C9" s="50" t="s">
        <v>41</v>
      </c>
      <c r="D9" s="50" t="s">
        <v>484</v>
      </c>
    </row>
    <row r="10" spans="1:4" x14ac:dyDescent="0.3">
      <c r="A10" s="7" t="s">
        <v>482</v>
      </c>
      <c r="B10" s="7" t="s">
        <v>485</v>
      </c>
      <c r="C10" s="7" t="s">
        <v>42</v>
      </c>
      <c r="D10" s="7" t="s">
        <v>482</v>
      </c>
    </row>
    <row r="11" spans="1:4" x14ac:dyDescent="0.3">
      <c r="A11" s="49" t="s">
        <v>486</v>
      </c>
      <c r="B11" s="50" t="s">
        <v>487</v>
      </c>
      <c r="C11" s="50" t="s">
        <v>42</v>
      </c>
      <c r="D11" s="50" t="s">
        <v>488</v>
      </c>
    </row>
    <row r="12" spans="1:4" x14ac:dyDescent="0.3">
      <c r="A12" s="7" t="s">
        <v>486</v>
      </c>
      <c r="B12" s="7" t="s">
        <v>489</v>
      </c>
      <c r="C12" s="7" t="s">
        <v>42</v>
      </c>
      <c r="D12" s="7" t="s">
        <v>486</v>
      </c>
    </row>
    <row r="13" spans="1:4" x14ac:dyDescent="0.3">
      <c r="A13" s="48" t="s">
        <v>490</v>
      </c>
      <c r="B13" s="7" t="s">
        <v>491</v>
      </c>
      <c r="C13" s="7" t="s">
        <v>41</v>
      </c>
      <c r="D13" s="7" t="s">
        <v>490</v>
      </c>
    </row>
    <row r="14" spans="1:4" x14ac:dyDescent="0.3">
      <c r="A14" s="48" t="s">
        <v>492</v>
      </c>
      <c r="B14" s="7" t="s">
        <v>493</v>
      </c>
      <c r="C14" s="7" t="s">
        <v>41</v>
      </c>
      <c r="D14" s="7" t="s">
        <v>492</v>
      </c>
    </row>
    <row r="15" spans="1:4" x14ac:dyDescent="0.3">
      <c r="A15" s="49" t="s">
        <v>494</v>
      </c>
      <c r="B15" s="50" t="s">
        <v>495</v>
      </c>
      <c r="C15" s="50" t="s">
        <v>41</v>
      </c>
      <c r="D15" s="50" t="s">
        <v>496</v>
      </c>
    </row>
    <row r="16" spans="1:4" x14ac:dyDescent="0.3">
      <c r="A16" s="48" t="s">
        <v>497</v>
      </c>
      <c r="B16" s="7" t="s">
        <v>498</v>
      </c>
      <c r="C16" s="7" t="s">
        <v>42</v>
      </c>
      <c r="D16" s="7" t="s">
        <v>497</v>
      </c>
    </row>
    <row r="17" spans="1:4" x14ac:dyDescent="0.3">
      <c r="A17" s="48" t="s">
        <v>499</v>
      </c>
      <c r="B17" s="7" t="s">
        <v>500</v>
      </c>
      <c r="C17" s="7" t="s">
        <v>42</v>
      </c>
      <c r="D17" s="7" t="s">
        <v>499</v>
      </c>
    </row>
    <row r="19" spans="1:4" x14ac:dyDescent="0.3">
      <c r="A19" s="51" t="s">
        <v>501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3"/>
  <sheetViews>
    <sheetView workbookViewId="0"/>
  </sheetViews>
  <sheetFormatPr defaultRowHeight="14.4" x14ac:dyDescent="0.3"/>
  <cols>
    <col min="1" max="1" width="18" customWidth="1"/>
    <col min="2" max="2" width="20" customWidth="1"/>
    <col min="3" max="3" width="56" customWidth="1"/>
  </cols>
  <sheetData>
    <row r="1" spans="1:3" ht="17.399999999999999" x14ac:dyDescent="0.3">
      <c r="A1" s="1" t="s">
        <v>502</v>
      </c>
    </row>
    <row r="3" spans="1:3" ht="30" customHeight="1" x14ac:dyDescent="0.3">
      <c r="A3" s="6" t="s">
        <v>35</v>
      </c>
      <c r="B3" s="6" t="s">
        <v>302</v>
      </c>
      <c r="C3" s="6" t="s">
        <v>303</v>
      </c>
    </row>
    <row r="4" spans="1:3" x14ac:dyDescent="0.3">
      <c r="A4" s="7" t="s">
        <v>51</v>
      </c>
      <c r="B4" s="48" t="s">
        <v>503</v>
      </c>
      <c r="C4" s="7" t="s">
        <v>504</v>
      </c>
    </row>
    <row r="5" spans="1:3" x14ac:dyDescent="0.3">
      <c r="A5" s="7" t="s">
        <v>51</v>
      </c>
      <c r="B5" s="48" t="s">
        <v>505</v>
      </c>
      <c r="C5" s="7" t="s">
        <v>506</v>
      </c>
    </row>
    <row r="6" spans="1:3" x14ac:dyDescent="0.3">
      <c r="A6" s="7" t="s">
        <v>51</v>
      </c>
      <c r="B6" s="48" t="s">
        <v>202</v>
      </c>
      <c r="C6" s="7" t="s">
        <v>507</v>
      </c>
    </row>
    <row r="7" spans="1:3" x14ac:dyDescent="0.3">
      <c r="A7" s="7" t="s">
        <v>76</v>
      </c>
      <c r="B7" s="48" t="s">
        <v>508</v>
      </c>
      <c r="C7" s="7" t="s">
        <v>509</v>
      </c>
    </row>
    <row r="8" spans="1:3" x14ac:dyDescent="0.3">
      <c r="A8" s="7" t="s">
        <v>76</v>
      </c>
      <c r="B8" s="48" t="s">
        <v>510</v>
      </c>
      <c r="C8" s="7" t="s">
        <v>511</v>
      </c>
    </row>
    <row r="9" spans="1:3" x14ac:dyDescent="0.3">
      <c r="A9" s="7" t="s">
        <v>76</v>
      </c>
      <c r="B9" s="48" t="s">
        <v>274</v>
      </c>
      <c r="C9" s="7" t="s">
        <v>512</v>
      </c>
    </row>
    <row r="10" spans="1:3" x14ac:dyDescent="0.3">
      <c r="A10" s="7" t="s">
        <v>76</v>
      </c>
      <c r="B10" s="48" t="s">
        <v>513</v>
      </c>
      <c r="C10" s="7" t="s">
        <v>514</v>
      </c>
    </row>
    <row r="11" spans="1:3" x14ac:dyDescent="0.3">
      <c r="A11" s="7" t="s">
        <v>76</v>
      </c>
      <c r="B11" s="48" t="s">
        <v>515</v>
      </c>
      <c r="C11" s="7" t="s">
        <v>516</v>
      </c>
    </row>
    <row r="12" spans="1:3" x14ac:dyDescent="0.3">
      <c r="A12" s="7" t="s">
        <v>76</v>
      </c>
      <c r="B12" s="48" t="s">
        <v>517</v>
      </c>
      <c r="C12" s="7" t="s">
        <v>518</v>
      </c>
    </row>
    <row r="13" spans="1:3" x14ac:dyDescent="0.3">
      <c r="A13" s="7" t="s">
        <v>76</v>
      </c>
      <c r="B13" s="48" t="s">
        <v>519</v>
      </c>
      <c r="C13" s="7" t="s">
        <v>520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65"/>
  <sheetViews>
    <sheetView workbookViewId="0"/>
  </sheetViews>
  <sheetFormatPr defaultRowHeight="14.4" x14ac:dyDescent="0.3"/>
  <cols>
    <col min="1" max="1" width="78" customWidth="1"/>
    <col min="2" max="2" width="16" customWidth="1"/>
    <col min="3" max="3" width="56" customWidth="1"/>
  </cols>
  <sheetData>
    <row r="1" spans="1:3" ht="17.399999999999999" x14ac:dyDescent="0.3">
      <c r="A1" s="1" t="s">
        <v>521</v>
      </c>
    </row>
    <row r="2" spans="1:3" x14ac:dyDescent="0.3">
      <c r="A2" s="2" t="s">
        <v>522</v>
      </c>
    </row>
    <row r="4" spans="1:3" ht="30" customHeight="1" x14ac:dyDescent="0.3">
      <c r="A4" s="6" t="s">
        <v>523</v>
      </c>
      <c r="B4" s="6" t="s">
        <v>524</v>
      </c>
      <c r="C4" s="6" t="s">
        <v>525</v>
      </c>
    </row>
    <row r="5" spans="1:3" ht="31.95" customHeight="1" x14ac:dyDescent="0.3">
      <c r="A5" s="42" t="s">
        <v>44</v>
      </c>
      <c r="B5" s="41" t="s">
        <v>526</v>
      </c>
      <c r="C5" s="41" t="s">
        <v>527</v>
      </c>
    </row>
    <row r="6" spans="1:3" ht="31.95" customHeight="1" x14ac:dyDescent="0.3">
      <c r="A6" s="42" t="s">
        <v>528</v>
      </c>
      <c r="B6" s="41" t="s">
        <v>526</v>
      </c>
      <c r="C6" s="41" t="s">
        <v>529</v>
      </c>
    </row>
    <row r="7" spans="1:3" ht="31.95" customHeight="1" x14ac:dyDescent="0.3">
      <c r="A7" s="42" t="s">
        <v>530</v>
      </c>
      <c r="B7" s="41" t="s">
        <v>531</v>
      </c>
      <c r="C7" s="41" t="s">
        <v>532</v>
      </c>
    </row>
    <row r="8" spans="1:3" ht="31.95" customHeight="1" x14ac:dyDescent="0.3">
      <c r="A8" s="42" t="s">
        <v>533</v>
      </c>
      <c r="B8" s="41" t="s">
        <v>531</v>
      </c>
      <c r="C8" s="41" t="s">
        <v>534</v>
      </c>
    </row>
    <row r="10" spans="1:3" ht="15.6" x14ac:dyDescent="0.3">
      <c r="A10" s="44" t="s">
        <v>535</v>
      </c>
    </row>
    <row r="11" spans="1:3" x14ac:dyDescent="0.3">
      <c r="A11" s="2" t="s">
        <v>536</v>
      </c>
    </row>
    <row r="12" spans="1:3" x14ac:dyDescent="0.3">
      <c r="A12" s="52" t="s">
        <v>537</v>
      </c>
    </row>
    <row r="13" spans="1:3" x14ac:dyDescent="0.3">
      <c r="A13" s="52" t="s">
        <v>538</v>
      </c>
    </row>
    <row r="14" spans="1:3" x14ac:dyDescent="0.3">
      <c r="A14" s="52" t="s">
        <v>539</v>
      </c>
    </row>
    <row r="15" spans="1:3" x14ac:dyDescent="0.3">
      <c r="A15" s="52" t="s">
        <v>540</v>
      </c>
    </row>
    <row r="16" spans="1:3" x14ac:dyDescent="0.3">
      <c r="A16" s="52" t="s">
        <v>541</v>
      </c>
    </row>
    <row r="17" spans="1:1" x14ac:dyDescent="0.3">
      <c r="A17" s="52" t="s">
        <v>542</v>
      </c>
    </row>
    <row r="18" spans="1:1" x14ac:dyDescent="0.3">
      <c r="A18" s="52" t="s">
        <v>543</v>
      </c>
    </row>
    <row r="19" spans="1:1" x14ac:dyDescent="0.3">
      <c r="A19" s="52" t="s">
        <v>544</v>
      </c>
    </row>
    <row r="20" spans="1:1" x14ac:dyDescent="0.3">
      <c r="A20" s="52" t="s">
        <v>545</v>
      </c>
    </row>
    <row r="21" spans="1:1" x14ac:dyDescent="0.3">
      <c r="A21" s="52" t="s">
        <v>546</v>
      </c>
    </row>
    <row r="22" spans="1:1" x14ac:dyDescent="0.3">
      <c r="A22" s="52" t="s">
        <v>547</v>
      </c>
    </row>
    <row r="23" spans="1:1" x14ac:dyDescent="0.3">
      <c r="A23" s="52" t="s">
        <v>548</v>
      </c>
    </row>
    <row r="24" spans="1:1" x14ac:dyDescent="0.3">
      <c r="A24" s="52" t="s">
        <v>549</v>
      </c>
    </row>
    <row r="25" spans="1:1" x14ac:dyDescent="0.3">
      <c r="A25" s="52" t="s">
        <v>550</v>
      </c>
    </row>
    <row r="26" spans="1:1" x14ac:dyDescent="0.3">
      <c r="A26" s="52" t="s">
        <v>551</v>
      </c>
    </row>
    <row r="27" spans="1:1" x14ac:dyDescent="0.3">
      <c r="A27" s="52" t="s">
        <v>552</v>
      </c>
    </row>
    <row r="28" spans="1:1" x14ac:dyDescent="0.3">
      <c r="A28" s="52" t="s">
        <v>553</v>
      </c>
    </row>
    <row r="29" spans="1:1" x14ac:dyDescent="0.3">
      <c r="A29" s="52" t="s">
        <v>554</v>
      </c>
    </row>
    <row r="30" spans="1:1" x14ac:dyDescent="0.3">
      <c r="A30" s="52" t="s">
        <v>555</v>
      </c>
    </row>
    <row r="31" spans="1:1" x14ac:dyDescent="0.3">
      <c r="A31" s="52" t="s">
        <v>556</v>
      </c>
    </row>
    <row r="32" spans="1:1" x14ac:dyDescent="0.3">
      <c r="A32" s="52" t="s">
        <v>557</v>
      </c>
    </row>
    <row r="33" spans="1:1" x14ac:dyDescent="0.3">
      <c r="A33" s="52" t="s">
        <v>558</v>
      </c>
    </row>
    <row r="34" spans="1:1" x14ac:dyDescent="0.3">
      <c r="A34" s="52" t="s">
        <v>559</v>
      </c>
    </row>
    <row r="35" spans="1:1" x14ac:dyDescent="0.3">
      <c r="A35" s="52"/>
    </row>
    <row r="36" spans="1:1" x14ac:dyDescent="0.3">
      <c r="A36" s="52" t="s">
        <v>560</v>
      </c>
    </row>
    <row r="37" spans="1:1" x14ac:dyDescent="0.3">
      <c r="A37" s="52" t="s">
        <v>561</v>
      </c>
    </row>
    <row r="38" spans="1:1" x14ac:dyDescent="0.3">
      <c r="A38" s="52" t="s">
        <v>562</v>
      </c>
    </row>
    <row r="39" spans="1:1" x14ac:dyDescent="0.3">
      <c r="A39" s="52" t="s">
        <v>563</v>
      </c>
    </row>
    <row r="40" spans="1:1" x14ac:dyDescent="0.3">
      <c r="A40" s="52" t="s">
        <v>564</v>
      </c>
    </row>
    <row r="41" spans="1:1" x14ac:dyDescent="0.3">
      <c r="A41" s="52" t="s">
        <v>565</v>
      </c>
    </row>
    <row r="42" spans="1:1" x14ac:dyDescent="0.3">
      <c r="A42" s="52" t="s">
        <v>566</v>
      </c>
    </row>
    <row r="43" spans="1:1" x14ac:dyDescent="0.3">
      <c r="A43" s="52" t="s">
        <v>567</v>
      </c>
    </row>
    <row r="44" spans="1:1" x14ac:dyDescent="0.3">
      <c r="A44" s="52" t="s">
        <v>568</v>
      </c>
    </row>
    <row r="45" spans="1:1" x14ac:dyDescent="0.3">
      <c r="A45" s="52" t="s">
        <v>569</v>
      </c>
    </row>
    <row r="46" spans="1:1" x14ac:dyDescent="0.3">
      <c r="A46" s="52" t="s">
        <v>570</v>
      </c>
    </row>
    <row r="47" spans="1:1" x14ac:dyDescent="0.3">
      <c r="A47" s="52" t="s">
        <v>571</v>
      </c>
    </row>
    <row r="48" spans="1:1" x14ac:dyDescent="0.3">
      <c r="A48" s="52" t="s">
        <v>572</v>
      </c>
    </row>
    <row r="49" spans="1:1" x14ac:dyDescent="0.3">
      <c r="A49" s="52" t="s">
        <v>573</v>
      </c>
    </row>
    <row r="50" spans="1:1" x14ac:dyDescent="0.3">
      <c r="A50" s="52" t="s">
        <v>574</v>
      </c>
    </row>
    <row r="51" spans="1:1" x14ac:dyDescent="0.3">
      <c r="A51" s="52" t="s">
        <v>559</v>
      </c>
    </row>
    <row r="52" spans="1:1" x14ac:dyDescent="0.3">
      <c r="A52" s="52"/>
    </row>
    <row r="53" spans="1:1" x14ac:dyDescent="0.3">
      <c r="A53" s="52" t="s">
        <v>575</v>
      </c>
    </row>
    <row r="54" spans="1:1" x14ac:dyDescent="0.3">
      <c r="A54" s="52" t="s">
        <v>576</v>
      </c>
    </row>
    <row r="55" spans="1:1" x14ac:dyDescent="0.3">
      <c r="A55" s="52" t="s">
        <v>577</v>
      </c>
    </row>
    <row r="56" spans="1:1" x14ac:dyDescent="0.3">
      <c r="A56" s="52" t="s">
        <v>578</v>
      </c>
    </row>
    <row r="57" spans="1:1" x14ac:dyDescent="0.3">
      <c r="A57" s="52"/>
    </row>
    <row r="58" spans="1:1" x14ac:dyDescent="0.3">
      <c r="A58" s="52" t="s">
        <v>579</v>
      </c>
    </row>
    <row r="59" spans="1:1" x14ac:dyDescent="0.3">
      <c r="A59" s="52" t="s">
        <v>580</v>
      </c>
    </row>
    <row r="60" spans="1:1" x14ac:dyDescent="0.3">
      <c r="A60" s="52" t="s">
        <v>581</v>
      </c>
    </row>
    <row r="61" spans="1:1" x14ac:dyDescent="0.3">
      <c r="A61" s="52"/>
    </row>
    <row r="62" spans="1:1" x14ac:dyDescent="0.3">
      <c r="A62" s="52" t="s">
        <v>582</v>
      </c>
    </row>
    <row r="63" spans="1:1" x14ac:dyDescent="0.3">
      <c r="A63" s="52" t="s">
        <v>583</v>
      </c>
    </row>
    <row r="64" spans="1:1" x14ac:dyDescent="0.3">
      <c r="A64" s="52" t="s">
        <v>584</v>
      </c>
    </row>
    <row r="65" spans="1:1" x14ac:dyDescent="0.3">
      <c r="A65" s="52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4"/>
  <sheetViews>
    <sheetView workbookViewId="0"/>
  </sheetViews>
  <sheetFormatPr defaultRowHeight="14.4" x14ac:dyDescent="0.3"/>
  <cols>
    <col min="1" max="1" width="5" customWidth="1"/>
    <col min="2" max="2" width="34" customWidth="1"/>
    <col min="3" max="3" width="40" customWidth="1"/>
    <col min="4" max="4" width="52" customWidth="1"/>
  </cols>
  <sheetData>
    <row r="1" spans="1:4" ht="17.399999999999999" x14ac:dyDescent="0.3">
      <c r="A1" s="1" t="s">
        <v>585</v>
      </c>
    </row>
    <row r="2" spans="1:4" x14ac:dyDescent="0.3">
      <c r="A2" s="2" t="s">
        <v>586</v>
      </c>
    </row>
    <row r="4" spans="1:4" ht="30" customHeight="1" x14ac:dyDescent="0.3">
      <c r="A4" s="6" t="s">
        <v>34</v>
      </c>
      <c r="B4" s="6" t="s">
        <v>587</v>
      </c>
      <c r="C4" s="6" t="s">
        <v>588</v>
      </c>
      <c r="D4" s="6" t="s">
        <v>589</v>
      </c>
    </row>
    <row r="5" spans="1:4" ht="49.95" customHeight="1" x14ac:dyDescent="0.3">
      <c r="A5" s="41">
        <v>1</v>
      </c>
      <c r="B5" s="42" t="s">
        <v>590</v>
      </c>
      <c r="C5" s="53" t="s">
        <v>591</v>
      </c>
      <c r="D5" s="41" t="s">
        <v>592</v>
      </c>
    </row>
    <row r="6" spans="1:4" ht="49.95" customHeight="1" x14ac:dyDescent="0.3">
      <c r="A6" s="41">
        <v>2</v>
      </c>
      <c r="B6" s="42" t="s">
        <v>593</v>
      </c>
      <c r="C6" s="53" t="s">
        <v>594</v>
      </c>
      <c r="D6" s="41" t="s">
        <v>595</v>
      </c>
    </row>
    <row r="7" spans="1:4" ht="49.95" customHeight="1" x14ac:dyDescent="0.3">
      <c r="A7" s="41">
        <v>3</v>
      </c>
      <c r="B7" s="42" t="s">
        <v>596</v>
      </c>
      <c r="C7" s="53" t="s">
        <v>597</v>
      </c>
      <c r="D7" s="41" t="s">
        <v>598</v>
      </c>
    </row>
    <row r="8" spans="1:4" ht="49.95" customHeight="1" x14ac:dyDescent="0.3">
      <c r="A8" s="41">
        <v>4</v>
      </c>
      <c r="B8" s="42" t="s">
        <v>599</v>
      </c>
      <c r="C8" s="53" t="s">
        <v>600</v>
      </c>
      <c r="D8" s="41" t="s">
        <v>601</v>
      </c>
    </row>
    <row r="9" spans="1:4" ht="49.95" customHeight="1" x14ac:dyDescent="0.3">
      <c r="A9" s="41">
        <v>5</v>
      </c>
      <c r="B9" s="42" t="s">
        <v>602</v>
      </c>
      <c r="C9" s="53" t="s">
        <v>603</v>
      </c>
      <c r="D9" s="41" t="s">
        <v>604</v>
      </c>
    </row>
    <row r="11" spans="1:4" x14ac:dyDescent="0.3">
      <c r="A11" s="39" t="s">
        <v>605</v>
      </c>
    </row>
    <row r="13" spans="1:4" x14ac:dyDescent="0.3">
      <c r="A13" s="54" t="s">
        <v>606</v>
      </c>
    </row>
    <row r="14" spans="1:4" ht="409.6" x14ac:dyDescent="0.3">
      <c r="A14" s="55" t="s">
        <v>607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10</vt:i4>
      </vt:variant>
    </vt:vector>
  </HeadingPairs>
  <TitlesOfParts>
    <vt:vector size="10" baseType="lpstr">
      <vt:lpstr>ภาพรวม</vt:lpstr>
      <vt:lpstr>Data Dictionary</vt:lpstr>
      <vt:lpstr>หลังสกรีน 63 คอลัมน์</vt:lpstr>
      <vt:lpstr>ค่าที่เป็นไปได้ ชั้น 2</vt:lpstr>
      <vt:lpstr>ข้อควรระวัง</vt:lpstr>
      <vt:lpstr>2 ระบบต่อกันยังไง</vt:lpstr>
      <vt:lpstr>รายชื่อร้าน</vt:lpstr>
      <vt:lpstr>ค่าที่เป็นไปได้</vt:lpstr>
      <vt:lpstr>คีย์และ schema</vt:lpstr>
      <vt:lpstr>คำตอบจากฝั่งฐานข้อมูล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ธาดา ประสพนิล</cp:lastModifiedBy>
  <dcterms:created xsi:type="dcterms:W3CDTF">2026-08-10T11:32:02Z</dcterms:created>
  <dcterms:modified xsi:type="dcterms:W3CDTF">2026-08-10T11:32:04Z</dcterms:modified>
</cp:coreProperties>
</file>