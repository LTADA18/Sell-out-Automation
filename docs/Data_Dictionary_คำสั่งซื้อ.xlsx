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tada.p\Dealer MKP Platform\docs\"/>
    </mc:Choice>
  </mc:AlternateContent>
  <xr:revisionPtr revIDLastSave="0" documentId="13_ncr:1_{4208C040-955B-4D1F-9CAF-05BD34D3E5E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ภาพรวม" sheetId="1" r:id="rId1"/>
    <sheet name="Data Dictionary" sheetId="2" r:id="rId2"/>
    <sheet name="ข้อควรระวัง" sheetId="3" r:id="rId3"/>
    <sheet name="รายชื่อร้าน" sheetId="4" r:id="rId4"/>
    <sheet name="ค่าที่เป็นไปได้" sheetId="5" r:id="rId5"/>
    <sheet name="คีย์และ schema" sheetId="6" r:id="rId6"/>
    <sheet name="คำตอบจากฝั่งฐานข้อมูล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" l="1"/>
  <c r="B21" i="1"/>
  <c r="B20" i="1"/>
  <c r="B19" i="1"/>
  <c r="B2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Data Team</author>
  </authors>
  <commentList>
    <comment ref="B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ต้องเก็บเป็น TEXT เท่านั้น
TikTok ใช้เลข 19 หลัก ถ้ารับเป็นตัวเลข
ระบบจะปัดหลักท้ายทิ้งโดยไม่มี error</t>
        </r>
      </text>
    </comment>
    <comment ref="B1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ต้องเก็บเป็น TEXT เท่านั้น
TikTok ใช้เลข 19 หลัก ถ้ารับเป็นตัวเลข
ระบบจะปัดหลักท้ายทิ้งโดยไม่มี error</t>
        </r>
      </text>
    </comment>
    <comment ref="B2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ต้องเก็บเป็น TEXT เท่านั้น
TikTok ใช้เลข 19 หลัก ถ้ารับเป็นตัวเลข
ระบบจะปัดหลักท้ายทิ้งโดยไม่มี error</t>
        </r>
      </text>
    </comment>
  </commentList>
</comments>
</file>

<file path=xl/sharedStrings.xml><?xml version="1.0" encoding="utf-8"?>
<sst xmlns="http://schemas.openxmlformats.org/spreadsheetml/2006/main" count="477" uniqueCount="324">
  <si>
    <t>Data Dictionary — ข้อมูลคำสั่งซื้อร้านค้าออนไลน์</t>
  </si>
  <si>
    <t>ทุกตัวเลข % วัดจากข้อมูลจริง 660,181 แถว (ม.ค.–ก.ค. 2026) ไม่ใช่ค่าที่คาดเดา · ปรับตามคำตอบจากฝั่งฐานข้อมูล 2026-08-10</t>
  </si>
  <si>
    <t>เจ้าของข้อมูล</t>
  </si>
  <si>
    <t>ทีม Marketplace</t>
  </si>
  <si>
    <t>แหล่งที่มา</t>
  </si>
  <si>
    <t>หลังบ้านร้านค้าของเราเอง — Lazada / TikTok Shop / Shopee Seller Centre</t>
  </si>
  <si>
    <t>ขอบเขต</t>
  </si>
  <si>
    <t>13 หน้าร้าน · 9 ชื่อร้าน · 3 แพลตฟอร์ม</t>
  </si>
  <si>
    <t>ความถี่</t>
  </si>
  <si>
    <t>รายวัน 08:30 น. ดึงข้อมูลของเมื่อวาน</t>
  </si>
  <si>
    <t>Time zone</t>
  </si>
  <si>
    <t>Asia/Bangkok ทุกคอลัมน์เวลา (ไม่มี timezone offset ต่อท้าย)</t>
  </si>
  <si>
    <t>สกุลเงิน</t>
  </si>
  <si>
    <t>บาท (THB) ทุกคอลัมน์เงิน</t>
  </si>
  <si>
    <t>รูปแบบส่งมอบ</t>
  </si>
  <si>
    <t>Excel .xlsx — sheet ชื่อ Orders</t>
  </si>
  <si>
    <t>จำนวนคอลัมน์</t>
  </si>
  <si>
    <t>Grain (1 แถวคืออะไร)</t>
  </si>
  <si>
    <t>1 รายการสินค้าในออเดอร์ (order line) — ไม่ใช่ 1 ออเดอร์</t>
  </si>
  <si>
    <t>การปกปิดข้อมูลส่วนบุคคล</t>
  </si>
  <si>
    <t>เปิดใช้ (include_pii = false) — ไม่มีชื่อ-นามสกุล เบอร์โทร ที่อยู่</t>
  </si>
  <si>
    <t>ปลายทางที่ตกลงกัน</t>
  </si>
  <si>
    <t>Postgres — ส่งเป็น 2 ตาราง order_header + order_line (รอรายละเอียดการเชื่อมต่อ)</t>
  </si>
  <si>
    <t>ช่วงข้อมูลที่ตกลงกัน</t>
  </si>
  <si>
    <t>1 ม.ค. 2026 ถึง D-1 (เมื่อวาน) และต่อเนื่องทุกวัน</t>
  </si>
  <si>
    <t>สรุปความพร้อมของคอลัมน์</t>
  </si>
  <si>
    <t>สถานะ</t>
  </si>
  <si>
    <t>ใช้ได้ทุกแพลตฟอร์ม</t>
  </si>
  <si>
    <t>มีบ้างไม่มีบ้าง</t>
  </si>
  <si>
    <t>ขาดบางแพลตฟอร์ม</t>
  </si>
  <si>
    <t>ยังไม่มีข้อมูลเลย</t>
  </si>
  <si>
    <t>รวม</t>
  </si>
  <si>
    <t>Data Dictionary — 32 คอลัมน์ เรียงตามลำดับในไฟล์</t>
  </si>
  <si>
    <t>คอลัมน์ % = สัดส่วนแถวที่มีค่าจริง วัดจากข้อมูลจริง · 0% = ว่างทั้งแพลตฟอร์มนั้น ไม่ใช่ข้อมูลหาย</t>
  </si>
  <si>
    <t>#</t>
  </si>
  <si>
    <t>คอลัมน์</t>
  </si>
  <si>
    <t>ชนิดข้อมูล</t>
  </si>
  <si>
    <t>Null ได้</t>
  </si>
  <si>
    <t>กลุ่ม</t>
  </si>
  <si>
    <t>คำอธิบาย</t>
  </si>
  <si>
    <t>Lazada</t>
  </si>
  <si>
    <t>TikTok</t>
  </si>
  <si>
    <t>Shopee</t>
  </si>
  <si>
    <t>หมายเหตุสำคัญ</t>
  </si>
  <si>
    <t>order_id</t>
  </si>
  <si>
    <t>VARCHAR(64)</t>
  </si>
  <si>
    <t>ไม่</t>
  </si>
  <si>
    <t>ตัวตน</t>
  </si>
  <si>
    <t>เลขออเดอร์จากแพลตฟอร์ม</t>
  </si>
  <si>
    <t>ครบทุกแถว</t>
  </si>
  <si>
    <t>ต้องเป็น TEXT เท่านั้น — TikTok ใช้เลข 19 หลัก ถ้ารับเป็นตัวเลขจะโดนปัดหลักท้ายแบบเงียบ ๆ</t>
  </si>
  <si>
    <t>platform</t>
  </si>
  <si>
    <t>VARCHAR(16)</t>
  </si>
  <si>
    <t>แพลตฟอร์ม</t>
  </si>
  <si>
    <t>ค่าที่เป็นไปได้: lazada / tiktok / shopee</t>
  </si>
  <si>
    <t>shop_id</t>
  </si>
  <si>
    <t>VARCHAR(32)</t>
  </si>
  <si>
    <t>รหัสหน้าร้านในระบบเรา เช่น shopee_03</t>
  </si>
  <si>
    <t>shop_name</t>
  </si>
  <si>
    <t>VARCHAR(128)</t>
  </si>
  <si>
    <t>ชื่อร้านมาตรฐาน</t>
  </si>
  <si>
    <t>1 ชื่อร้านมีได้หลาย shop_id — ดูชีท 'รายชื่อร้าน'</t>
  </si>
  <si>
    <t>order_created_at</t>
  </si>
  <si>
    <t>DATETIME</t>
  </si>
  <si>
    <t>เวลา</t>
  </si>
  <si>
    <t>เวลาที่สร้างออเดอร์</t>
  </si>
  <si>
    <t>ใช้คอลัมน์นี้แบ่งช่วงเวลาในรายงาน</t>
  </si>
  <si>
    <t>order_updated_at</t>
  </si>
  <si>
    <t>ได้</t>
  </si>
  <si>
    <t>เวลาที่แก้ล่าสุด</t>
  </si>
  <si>
    <t>paid_at</t>
  </si>
  <si>
    <t>เวลาชำระเงิน</t>
  </si>
  <si>
    <t>Lazada ไม่มีข้อมูลนี้</t>
  </si>
  <si>
    <t>status_raw</t>
  </si>
  <si>
    <t>ค่าสถานะดิบจากแพลตฟอร์ม</t>
  </si>
  <si>
    <t>คนละคำในแต่ละเจ้า เก็บไว้ย้อนตรวจว่า map ถูกไหม</t>
  </si>
  <si>
    <t>order_status</t>
  </si>
  <si>
    <t>สถานะกลางที่แปลงแล้ว</t>
  </si>
  <si>
    <t>ดูค่าที่เป็นไปได้ในชีท 'ค่าที่เป็นไปได้'</t>
  </si>
  <si>
    <t>payment_method</t>
  </si>
  <si>
    <t>วิธีชำระเงิน เช่น COD, SPayLater</t>
  </si>
  <si>
    <t>sku</t>
  </si>
  <si>
    <t>สินค้า</t>
  </si>
  <si>
    <t>รหัสสินค้าของผู้ขาย</t>
  </si>
  <si>
    <t>ต้องเป็น TEXT / ว่างได้ประมาณ 3% ซึ่งกระทบการใช้เป็นคีย์</t>
  </si>
  <si>
    <t>product_name</t>
  </si>
  <si>
    <t>VARCHAR(512)</t>
  </si>
  <si>
    <t>ชื่อสินค้า</t>
  </si>
  <si>
    <t>variation</t>
  </si>
  <si>
    <t>VARCHAR(256)</t>
  </si>
  <si>
    <t>ตัวเลือกสินค้า เช่น สี/ขนาด</t>
  </si>
  <si>
    <t>quantity</t>
  </si>
  <si>
    <t>INT</t>
  </si>
  <si>
    <t>จำนวนชิ้น</t>
  </si>
  <si>
    <t>Lazada ไม่มีคอลัมน์นี้ในไฟล์ต้นทาง ระบบยุบ 1 แถวต่อชิ้นให้แล้ว</t>
  </si>
  <si>
    <t>item_price</t>
  </si>
  <si>
    <t>DECIMAL(12,2)</t>
  </si>
  <si>
    <t>เงิน-สินค้า</t>
  </si>
  <si>
    <t>ราคาต่อรายการ</t>
  </si>
  <si>
    <t>item_discount</t>
  </si>
  <si>
    <t>ส่วนลดระดับรายการ</t>
  </si>
  <si>
    <t>ยังไม่มีข้อมูล</t>
  </si>
  <si>
    <t>ว่างทุกแพลตฟอร์ม — ไม่มีในรายงานต้นทาง</t>
  </si>
  <si>
    <t>seller_discount</t>
  </si>
  <si>
    <t>ส่วนลดที่ร้านออกเอง</t>
  </si>
  <si>
    <t>Lazada มีน้อยมาก (2%)</t>
  </si>
  <si>
    <t>platform_discount</t>
  </si>
  <si>
    <t>ส่วนลดที่แพลตฟอร์มออก</t>
  </si>
  <si>
    <t>shipping_fee</t>
  </si>
  <si>
    <t>ขนส่ง</t>
  </si>
  <si>
    <t>ค่าส่ง (ระดับออเดอร์)</t>
  </si>
  <si>
    <t>เป็นค่าของทั้งออเดอร์ ซ้ำทุกแถวในออเดอร์เดียวกัน</t>
  </si>
  <si>
    <t>shipping_carrier</t>
  </si>
  <si>
    <t>ผู้ให้บริการขนส่ง</t>
  </si>
  <si>
    <t>tracking_no</t>
  </si>
  <si>
    <t>เลขพัสดุ</t>
  </si>
  <si>
    <t>ต้องเป็น TEXT / ว่างเมื่อยังไม่ได้จัดส่ง</t>
  </si>
  <si>
    <t>commission_fee</t>
  </si>
  <si>
    <t>ค่าธรรมเนียม</t>
  </si>
  <si>
    <t>ค่าคอมมิชชั่น</t>
  </si>
  <si>
    <t>ยังไม่มีข้อมูล — อยู่ในเมนูการเงินซึ่งยังไม่ได้รับอนุญาตให้เข้าถึง</t>
  </si>
  <si>
    <t>transaction_fee</t>
  </si>
  <si>
    <t>ค่าธรรมเนียมธุรกรรม</t>
  </si>
  <si>
    <t>ยังไม่มีข้อมูล เหตุผลเดียวกับ commission_fee</t>
  </si>
  <si>
    <t>service_fee</t>
  </si>
  <si>
    <t>ค่าบริการ</t>
  </si>
  <si>
    <t>total_amount</t>
  </si>
  <si>
    <t>เงิน-ออเดอร์</t>
  </si>
  <si>
    <t>ยอดที่ลูกค้าจ่าย (ทั้งออเดอร์)</t>
  </si>
  <si>
    <t>ห้าม SUM ตรง ๆ จะได้ยอดเกินจริง เพราะซ้ำทุกแถวในออเดอร์ — ดูชีท 'ข้อควรระวัง'</t>
  </si>
  <si>
    <t>settlement_amount</t>
  </si>
  <si>
    <t>ยอดที่ร้านได้รับจริง</t>
  </si>
  <si>
    <t>ยังไม่มีข้อมูล — ห้ามนำไปคำนวณกำไร</t>
  </si>
  <si>
    <t>buyer_username</t>
  </si>
  <si>
    <t>ผู้ซื้อ</t>
  </si>
  <si>
    <t>ชื่อผู้ใช้ของผู้ซื้อ (ถูกปกปิดแล้ว)</t>
  </si>
  <si>
    <t>PDPA: เก็บแค่ตัวแรกกับตัวท้าย เช่น somchai123 → s********3 / Lazada ไม่มี</t>
  </si>
  <si>
    <t>province</t>
  </si>
  <si>
    <t>จังหวัดผู้รับ</t>
  </si>
  <si>
    <t>Lazada ไม่มี — อย่าทำรายงานรายจังหวัดจากข้อมูลทั้งหมด ตัวเลขจะเอียง</t>
  </si>
  <si>
    <t>cancel_reason</t>
  </si>
  <si>
    <t>ยกเลิก/คืน</t>
  </si>
  <si>
    <t>เหตุผลการยกเลิก</t>
  </si>
  <si>
    <t>ว่างเมื่อออเดอร์ไม่ถูกยกเลิก / Lazada ไม่มี</t>
  </si>
  <si>
    <t>return_status</t>
  </si>
  <si>
    <t>สถานะการคืนสินค้า</t>
  </si>
  <si>
    <t>Lazada ไม่มี</t>
  </si>
  <si>
    <t>notes</t>
  </si>
  <si>
    <t>meta</t>
  </si>
  <si>
    <t>เหตุผลที่บางคอลัมน์ว่าง</t>
  </si>
  <si>
    <t>กฎของระบบคือห้ามสร้างตัวเลขขึ้นเอง ไม่มีข้อมูลจะเว้นว่างแล้วเขียนเหตุผลที่นี่</t>
  </si>
  <si>
    <t>fetched_at</t>
  </si>
  <si>
    <t>เวลาที่ระบบดึงข้อมูล</t>
  </si>
  <si>
    <t>ไม่ใช่เวลาของออเดอร์</t>
  </si>
  <si>
    <t>ข้อควรระวัง — อ่านก่อนออกแบบตารางและก่อนเขียนรายงาน</t>
  </si>
  <si>
    <t>ทุกข้อเป็นเรื่องที่ถ้าพลาดแล้วตัวเลขจะผิดโดยไม่มีอะไรเตือน</t>
  </si>
  <si>
    <t>หัวข้อ</t>
  </si>
  <si>
    <t>รายละเอียด</t>
  </si>
  <si>
    <t>สิ่งที่ต้องทำ</t>
  </si>
  <si>
    <t>1 แถว = 1 สินค้า ไม่ใช่ 1 ออเดอร์</t>
  </si>
  <si>
    <t>ออเดอร์ที่ซื้อ 3 สินค้าจะมี 3 แถว ใช้ order_id เดียวกัน คอลัมน์ระดับออเดอร์ (total_amount, shipping_fee, payment_method, province, buyer_username) จะซ้ำในทุกแถวของออเดอร์นั้น</t>
  </si>
  <si>
    <t>ห้าม SUM(total_amount) ตรง ๆ จะได้ยอดเกินจริงตามจำนวนสินค้า ต้องยุบเป็นระดับออเดอร์ก่อน หรือใช้ค่าเฉพาะแถวแรกของแต่ละ order_id</t>
  </si>
  <si>
    <t>order_id ต้องเป็น TEXT</t>
  </si>
  <si>
    <t>TikTok ใช้เลข 19 หลัก ซึ่งเกินช่วงของจำนวนเต็ม 64 บิตที่ระบบส่วนใหญ่ใช้ปลอดภัย ถ้ารับเป็นตัวเลข หลักท้ายจะถูกปัดทิ้งโดยไม่มี error</t>
  </si>
  <si>
    <t>ประกาศเป็น VARCHAR ทั้ง order_id, sku, tracking_no และห้ามให้ตัวนำเข้าเดาชนิดเอง</t>
  </si>
  <si>
    <t>ข้อความ 'Null' ไม่ใช่ NULL จริง</t>
  </si>
  <si>
    <t>ในไฟล์ Excel ค่าว่างบางช่องถูกเขียนเป็นข้อความ Null (4 ตัวอักษร)</t>
  </si>
  <si>
    <t>ตอน import ต้องแปลงข้อความ 'Null' เป็น NULL จริง ไม่งั้น IS NULL ใช้ไม่ได้</t>
  </si>
  <si>
    <t>1 ชื่อร้าน มีได้หลาย shop_id</t>
  </si>
  <si>
    <t>ร้านเดียวกันขายหลายแพลตฟอร์ม ระบบแปลงชื่อให้เป็นชื่อมาตรฐานเดียวกันแล้ว เช่น powerstool (TikTok) กับ Powerstools (Shopee) กลายเป็น Powerstools ทั้งคู่</t>
  </si>
  <si>
    <t>GROUP BY shop_name = ยอดของร้านจริง / GROUP BY shop_id = ยอดของแต่ละหน้าร้าน เลือกให้ตรงกับคำถามที่จะตอบ</t>
  </si>
  <si>
    <t>Lazada ไม่มีจังหวัด</t>
  </si>
  <si>
    <t>province ถูกแพลตฟอร์มปิดบังมาตั้งแต่ต้นทาง ดึงมาไม่ได้</t>
  </si>
  <si>
    <t>อย่าทำรายงานยอดขายรายจังหวัดจากข้อมูลทั้งหมด ต้องกรอง platform &lt;&gt; 'lazada' แล้วระบุในรายงานว่าไม่รวม Lazada</t>
  </si>
  <si>
    <t>ยังไม่มีค่าธรรมเนียมและ settlement</t>
  </si>
  <si>
    <t>commission_fee, transaction_fee, service_fee, settlement_amount ว่าง 0% ทุกแพลตฟอร์ม ข้อมูลอยู่ในเมนูการเงินซึ่งยังไม่ได้รับอนุญาตให้เข้าถึง</t>
  </si>
  <si>
    <t>สร้างคอลัมน์ไว้ได้เพื่อไม่ต้องแก้ schema ภายหลัง แต่ห้ามนำไปคำนวณกำไรจนกว่าจะมีข้อมูลจริง</t>
  </si>
  <si>
    <t>สถานะออเดอร์เปลี่ยนได้หลังดึง</t>
  </si>
  <si>
    <t>ออเดอร์ที่ดึงวันนี้อาจถูกยกเลิกหรือเปลี่ยนเป็นส่งสำเร็จในภายหลัง ข้อมูลที่ดึงไปแล้วจะไม่ถูกอัปเดตย้อนหลังอัตโนมัติ</t>
  </si>
  <si>
    <t>ทำ upsert ด้วย (platform, order_id, sku) ไม่ใช่ insert อย่างเดียว จะได้รองรับการดึงซ้ำเพื่ออัปเดตสถานะโดยไม่เกิดข้อมูลซ้ำ</t>
  </si>
  <si>
    <t>ข้อมูลผู้ซื้อถูกปกปิดแล้ว</t>
  </si>
  <si>
    <t>buyer_username เก็บแค่ตัวแรกกับตัวท้าย เช่น somchai123 → s********3 ชื่อ-นามสกุล เบอร์โทร ที่อยู่ เลขบัตรประชาชน ถูกตัดทิ้งก่อนออกไฟล์</t>
  </si>
  <si>
    <t>ใช้จับลูกค้าซ้ำได้ แต่ระบุตัวตนไม่ได้ ถ้าต้องการข้อมูลเต็มต้องขออนุมัติเรื่อง PDPA ก่อน</t>
  </si>
  <si>
    <t>รายชื่อร้าน — 9 ชื่อร้าน จาก 13 หน้าร้าน</t>
  </si>
  <si>
    <t>ชื่อจริงบนแพลตฟอร์มต่างจากชื่อในไฟล์ เพราะร้านเดียวกันตั้งชื่อไม่ตรงกันในแต่ละเจ้า</t>
  </si>
  <si>
    <t>shop_name (ในไฟล์)</t>
  </si>
  <si>
    <t>ชื่อจริงบนแพลตฟอร์ม</t>
  </si>
  <si>
    <t>กัปตัน เอกสตีล</t>
  </si>
  <si>
    <t>lazada_01</t>
  </si>
  <si>
    <t>shopee_06</t>
  </si>
  <si>
    <t>Powerstools</t>
  </si>
  <si>
    <t>tiktok_01</t>
  </si>
  <si>
    <t>powerstool  ← ไม่มี s</t>
  </si>
  <si>
    <t>shopee_04</t>
  </si>
  <si>
    <t>เฮียเก๋า เครื่องมือช่างราคาถูก</t>
  </si>
  <si>
    <t>tiktok_05</t>
  </si>
  <si>
    <t>เฮียเก๋าเครื่องมือช่าง ราคาถูก  ← เว้นวรรคคนละที่</t>
  </si>
  <si>
    <t>shopee_05</t>
  </si>
  <si>
    <t>TNLTOOLSTORE</t>
  </si>
  <si>
    <t>shopee_03</t>
  </si>
  <si>
    <t>Toolspartner  ← คนละชื่อเลย</t>
  </si>
  <si>
    <t>shopee_08</t>
  </si>
  <si>
    <t>toolsdee1</t>
  </si>
  <si>
    <t>tiktok_02</t>
  </si>
  <si>
    <t>ฝ้ายการช่าง</t>
  </si>
  <si>
    <t>tiktok_03</t>
  </si>
  <si>
    <t>100อัน1000อย่าง</t>
  </si>
  <si>
    <t>tiktok_04</t>
  </si>
  <si>
    <t>100อัน1000อย่าง88  ← มี 88 ต่อท้าย</t>
  </si>
  <si>
    <t>เฮียคิมคลองถม</t>
  </si>
  <si>
    <t>shopee_01</t>
  </si>
  <si>
    <t>Smarttooltech</t>
  </si>
  <si>
    <t>shopee_02</t>
  </si>
  <si>
    <t>แถวสีเหลือง = ชื่อจริงบนแพลตฟอร์มไม่ตรงกับ shop_name ในไฟล์</t>
  </si>
  <si>
    <t>ค่าที่เป็นไปได้ของคอลัมน์ประเภทรหัส</t>
  </si>
  <si>
    <t>ค่า</t>
  </si>
  <si>
    <t>ความหมาย</t>
  </si>
  <si>
    <t>lazada</t>
  </si>
  <si>
    <t>Lazada Seller Center</t>
  </si>
  <si>
    <t>tiktok</t>
  </si>
  <si>
    <t>TikTok Shop Seller Center</t>
  </si>
  <si>
    <t>shopee</t>
  </si>
  <si>
    <t>Shopee Seller Centre</t>
  </si>
  <si>
    <t>PENDING</t>
  </si>
  <si>
    <t>รอดำเนินการ / ยังไม่ชำระ</t>
  </si>
  <si>
    <t>READY_TO_SHIP</t>
  </si>
  <si>
    <t>พร้อมจัดส่ง</t>
  </si>
  <si>
    <t>SHIPPED</t>
  </si>
  <si>
    <t>จัดส่งแล้ว</t>
  </si>
  <si>
    <t>DELIVERED</t>
  </si>
  <si>
    <t>ส่งถึงผู้รับแล้ว</t>
  </si>
  <si>
    <t>CANCELLED</t>
  </si>
  <si>
    <t>ยกเลิก</t>
  </si>
  <si>
    <t>RETURNED</t>
  </si>
  <si>
    <t>คืนสินค้า</t>
  </si>
  <si>
    <t>UNKNOWN</t>
  </si>
  <si>
    <t>แปลงสถานะไม่ได้ — ดูค่าดิบที่คอลัมน์ status_raw</t>
  </si>
  <si>
    <t>คีย์ — ผลทดสอบกับข้อมูลจริง</t>
  </si>
  <si>
    <t>ทดสอบครบทุกแถว 660,181 แถว (ม.ค.–ก.ค. 2026) ไม่ได้สุ่มตัวอย่าง</t>
  </si>
  <si>
    <t>ผู้สมัครเป็นคีย์</t>
  </si>
  <si>
    <t>ผล</t>
  </si>
  <si>
    <t>หมายเหตุ</t>
  </si>
  <si>
    <t>❌ ใช้ไม่ได้</t>
  </si>
  <si>
    <t>ซ้ำ 73,470 แถว — 1 ออเดอร์มีหลายรายการสินค้าตาม grain</t>
  </si>
  <si>
    <t>platform + order_id</t>
  </si>
  <si>
    <t>ซ้ำ 73,470 แถว เท่ากับข้างบน (ยืนยันว่า order_id ไม่ชนกันข้ามแพลตฟอร์ม)</t>
  </si>
  <si>
    <t>platform + order_id + sku</t>
  </si>
  <si>
    <t>✅ ใช้ได้</t>
  </si>
  <si>
    <t>ไม่ซ้ำเลยทั้ง 660,181 แถว · ในกลุ่มที่ sku ว่าง 93,486 แถว ก็ไม่ชนกันสักคู่</t>
  </si>
  <si>
    <t>shop_id + order_id + sku</t>
  </si>
  <si>
    <t>ผลเท่ากับข้างบน เลือกใช้ชุดใดชุดหนึ่งได้</t>
  </si>
  <si>
    <t>โครงตาราง Postgres — แยก 2 ระดับตามที่ฝั่งฐานข้อมูลขอ</t>
  </si>
  <si>
    <t>แยกแล้วหมดปัญหายอดซ้ำจาก grain — SUM(total_amount) บน order_header ได้ยอดขายจริงทันที ไม่ต้องระวัง DISTINCT</t>
  </si>
  <si>
    <t>-- ═══ ตารางที่ 1: ระดับออเดอร์ (1 แถว = 1 ออเดอร์) ═══</t>
  </si>
  <si>
    <t>CREATE TABLE order_header (</t>
  </si>
  <si>
    <t xml:space="preserve">    order_id          VARCHAR(64)  NOT NULL,   -- TEXT เท่านั้น ห้าม BIGINT</t>
  </si>
  <si>
    <t xml:space="preserve">    platform          VARCHAR(16)  NOT NULL,   -- lazada / tiktok / shopee</t>
  </si>
  <si>
    <t xml:space="preserve">    shop_id           VARCHAR(32)  NOT NULL,   -- หน้าร้าน เช่น shopee_09</t>
  </si>
  <si>
    <t xml:space="preserve">    shop_name         VARCHAR(128) NOT NULL,   -- ชื่อมาตรฐาน 1 ชื่อมีได้หลาย shop_id</t>
  </si>
  <si>
    <t xml:space="preserve">    order_created_at  TIMESTAMP    NOT NULL,   -- Asia/Bangkok (ไม่มี offset)</t>
  </si>
  <si>
    <t xml:space="preserve">    order_updated_at  TIMESTAMP,</t>
  </si>
  <si>
    <t xml:space="preserve">    paid_at           TIMESTAMP,               -- Lazada ไม่มี</t>
  </si>
  <si>
    <t xml:space="preserve">    order_status      VARCHAR(16)  NOT NULL,   -- 7 ค่า ดูชีท 'ค่าที่เป็นไปได้'</t>
  </si>
  <si>
    <t xml:space="preserve">    status_raw        VARCHAR(64),             -- ค่าดิบไว้ย้อนตรวจการ map</t>
  </si>
  <si>
    <t xml:space="preserve">    payment_method    VARCHAR(64),</t>
  </si>
  <si>
    <t xml:space="preserve">    shipping_fee      DECIMAL(12,2),</t>
  </si>
  <si>
    <t xml:space="preserve">    shipping_carrier  VARCHAR(64),</t>
  </si>
  <si>
    <t xml:space="preserve">    tracking_no       VARCHAR(64),             -- TEXT เท่านั้น</t>
  </si>
  <si>
    <t xml:space="preserve">    total_amount      DECIMAL(12,2),           -- ยอดที่ลูกค้าจ่ายทั้งออเดอร์</t>
  </si>
  <si>
    <t xml:space="preserve">    buyer_username    VARCHAR(64),             -- ถูก mask ตาม PDPA</t>
  </si>
  <si>
    <t xml:space="preserve">    province          VARCHAR(64),             -- Lazada ไม่มี</t>
  </si>
  <si>
    <t xml:space="preserve">    cancel_reason     VARCHAR(256),</t>
  </si>
  <si>
    <t xml:space="preserve">    return_status     VARCHAR(64),</t>
  </si>
  <si>
    <t xml:space="preserve">    fetched_at        TIMESTAMP    NOT NULL,</t>
  </si>
  <si>
    <t xml:space="preserve">    PRIMARY KEY (platform, order_id)</t>
  </si>
  <si>
    <t>);</t>
  </si>
  <si>
    <t>-- ═══ ตารางที่ 2: ระดับสินค้า (1 แถว = 1 รายการในออเดอร์) ═══</t>
  </si>
  <si>
    <t>CREATE TABLE order_line (</t>
  </si>
  <si>
    <t xml:space="preserve">    id                BIGSERIAL PRIMARY KEY,</t>
  </si>
  <si>
    <t xml:space="preserve">    order_id          VARCHAR(64)  NOT NULL,</t>
  </si>
  <si>
    <t xml:space="preserve">    platform          VARCHAR(16)  NOT NULL,</t>
  </si>
  <si>
    <t xml:space="preserve">    sku               VARCHAR(128),            -- ว่างได้ ~3% (93,486 จาก 660,181)</t>
  </si>
  <si>
    <t xml:space="preserve">    product_name      VARCHAR(512),</t>
  </si>
  <si>
    <t xml:space="preserve">    variation         VARCHAR(256),</t>
  </si>
  <si>
    <t xml:space="preserve">    quantity          INT,</t>
  </si>
  <si>
    <t xml:space="preserve">    item_price        DECIMAL(12,2),</t>
  </si>
  <si>
    <t xml:space="preserve">    seller_discount   DECIMAL(12,2),</t>
  </si>
  <si>
    <t xml:space="preserve">    platform_discount DECIMAL(12,2),</t>
  </si>
  <si>
    <t xml:space="preserve">    notes             VARCHAR(512),            -- เหตุผลที่บางคอลัมน์ว่าง</t>
  </si>
  <si>
    <t xml:space="preserve">    FOREIGN KEY (platform, order_id) REFERENCES order_header (platform, order_id),</t>
  </si>
  <si>
    <t xml:space="preserve">    UNIQUE (platform, order_id, sku)           -- ทดสอบแล้วไม่ซ้ำทั้ง 660,181 แถว</t>
  </si>
  <si>
    <t>CREATE INDEX idx_hdr_created ON order_header (order_created_at);</t>
  </si>
  <si>
    <t>CREATE INDEX idx_hdr_shop    ON order_header (shop_id, order_created_at);</t>
  </si>
  <si>
    <t>CREATE INDEX idx_hdr_name    ON order_header (shop_name, order_created_at);</t>
  </si>
  <si>
    <t>CREATE INDEX idx_line_order  ON order_line   (platform, order_id);</t>
  </si>
  <si>
    <t>-- ⚠️ ไม่ใส่ commission_fee / transaction_fee / service_fee / settlement_amount</t>
  </si>
  <si>
    <t>--    ฝั่งฐานข้อมูลตอบว่า No need และเรายังไม่มีข้อมูลจริงอยู่ดี (ว่าง 0% ทุกแพลตฟอร์ม)</t>
  </si>
  <si>
    <t>--    ถ้าวันหนึ่งเปิดใช้ ให้เพิ่มเข้า order_header</t>
  </si>
  <si>
    <t>-- ⚠️ นำเข้าด้วย upsert ไม่ใช่ insert อย่างเดียว</t>
  </si>
  <si>
    <t>--    สถานะออเดอร์เปลี่ยนได้หลังดึงไปแล้ว (SHIPPED -&gt; DELIVERED / ถูกยกเลิกภายหลัง)</t>
  </si>
  <si>
    <t>--    ON CONFLICT (platform, order_id) DO UPDATE ...</t>
  </si>
  <si>
    <t>คำตอบจากฝั่งฐานข้อมูล — ได้รับ 2026-08-10</t>
  </si>
  <si>
    <t>5 ข้อนี้ตอบครบแล้ว ใช้เป็นข้อกำหนดในการส่งมอบต่อจากนี้</t>
  </si>
  <si>
    <t>คำถาม</t>
  </si>
  <si>
    <t>คำตอบที่ได้รับ</t>
  </si>
  <si>
    <t>สิ่งที่ต้องทำต่อ</t>
  </si>
  <si>
    <t>ต้องการข้อมูลย้อนหลังถึงเมื่อไหร่</t>
  </si>
  <si>
    <t>From 1 Jan 2026 till latest date D-1</t>
  </si>
  <si>
    <t>ตรงกับที่มีอยู่แล้ว — ม.ค. 2026 ถึงเมื่อวาน ไม่ต้องดึงเพิ่ม ระบบดึงของ D-1 ทุกเช้าอยู่แล้ว จึงต่อเนื่องได้เอง</t>
  </si>
  <si>
    <t>จะรับข้อมูลอย่างไร</t>
  </si>
  <si>
    <t>Export ลง Postgres โดยตรง (รายละเอียดการเชื่อมต่อจะให้ในรอบถัดไป)</t>
  </si>
  <si>
    <t>รอ host / database / schema / user จากฝั่งฐานข้อมูล แล้วเราเขียนตัวส่งเข้า Postgres — ดูโครงตารางที่ชีท 'คีย์และ schema'</t>
  </si>
  <si>
    <t>ต้องการตารางระดับออเดอร์แยกอีกตารางไหม</t>
  </si>
  <si>
    <t>Yes — ให้แยกตารางออเดอร์ออกมา</t>
  </si>
  <si>
    <t>ส่ง 2 ตาราง: order_header (1 แถว = 1 ออเดอร์) + order_line (1 แถว = 1 สินค้า) แก้ปัญหายอดซ้ำจาก grain ได้ที่ต้นทาง</t>
  </si>
  <si>
    <t>ต้องการค่าธรรมเนียมและ settlement ไหม</t>
  </si>
  <si>
    <t>No need</t>
  </si>
  <si>
    <t>ไม่ต้องขออนุญาตเข้าเมนูการเงิน — 4 คอลัมน์นั้นยังคงไว้ในตารางแต่จะเป็น NULL เสมอ หรือจะตัดออกก็ได้ถ้าฝั่งฐานข้อมูลต้องการ</t>
  </si>
  <si>
    <t>ต้องการข้อมูลผู้ซื้อแบบไม่ปกปิดไหม</t>
  </si>
  <si>
    <t>No need — ให้ทำตาม PDPA ปกปิด PII ต่อไป</t>
  </si>
  <si>
    <t>คงค่า include_pii = false ไว้เหมือนเดิม buyer_username ยังถูก mask · ไม่มีชื่อ-เบอร์-ที่อยู่ในข้อมูลที่ส่ง</t>
  </si>
  <si>
    <t>ช่องสีเขียว = คำตอบที่ได้รับจากฝั่งฐานข้อมูล 2026-08-10</t>
  </si>
  <si>
    <t>ยังต้องรออีก 1 อย่าง</t>
  </si>
  <si>
    <t>รายละเอียดการเชื่อมต่อ Postgres (host / port / database / schema / user / วิธียืนยันตัวตน) — ยังส่งข้อมูลเข้าฐานไม่ได้จนกว่าจะได้ครบ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</si>
</sst>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 x14ac:knownFonts="1">
    <font>
      <sz val="11"/>
      <color theme="1"/>
      <name val="Calibri"/>
      <family val="2"/>
      <scheme val="minor"/>
    </font>
    <font>
      <b/>
      <sz val="14"/>
      <color rgb="FF1F3864"/>
      <name val="Arial"/>
    </font>
    <font>
      <i/>
      <sz val="9"/>
      <color rgb="FF595959"/>
      <name val="Arial"/>
    </font>
    <font>
      <b/>
      <sz val="10"/>
      <name val="Arial"/>
    </font>
    <font>
      <sz val="10"/>
      <name val="Arial"/>
    </font>
    <font>
      <b/>
      <sz val="11"/>
      <color rgb="FF1F3864"/>
      <name val="Arial"/>
    </font>
    <font>
      <b/>
      <sz val="10"/>
      <color rgb="FFFFFFFF"/>
      <name val="Arial"/>
    </font>
    <font>
      <b/>
      <sz val="13"/>
      <color rgb="FF1F3864"/>
      <name val="Arial"/>
    </font>
    <font>
      <b/>
      <sz val="10"/>
      <color rgb="FFC00000"/>
      <name val="Arial"/>
    </font>
    <font>
      <b/>
      <sz val="10"/>
      <color rgb="FF000000"/>
      <name val="Arial"/>
    </font>
    <font>
      <i/>
      <sz val="9"/>
      <color rgb="FF806000"/>
      <name val="Arial"/>
    </font>
    <font>
      <b/>
      <sz val="12"/>
      <color rgb="FF1F3864"/>
      <name val="Arial"/>
    </font>
    <font>
      <sz val="9"/>
      <name val="Consolas"/>
    </font>
    <font>
      <b/>
      <sz val="10"/>
      <color rgb="FF1F6F1F"/>
      <name val="Arial"/>
    </font>
    <font>
      <i/>
      <sz val="9"/>
      <color rgb="FF1F6F1F"/>
      <name val="Arial"/>
    </font>
    <font>
      <b/>
      <sz val="11"/>
      <color rgb="FFC00000"/>
      <name val="Arial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E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center" wrapText="1"/>
    </xf>
    <xf numFmtId="0" fontId="5" fillId="0" borderId="0" xfId="0" applyFont="1"/>
    <xf numFmtId="0" fontId="6" fillId="2" borderId="1" xfId="0" applyFont="1" applyFill="1" applyBorder="1" applyAlignment="1">
      <alignment vertical="center" wrapText="1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7" fillId="0" borderId="0" xfId="0" applyFont="1"/>
    <xf numFmtId="0" fontId="4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 wrapText="1"/>
    </xf>
    <xf numFmtId="164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9" fillId="5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 wrapText="1"/>
    </xf>
    <xf numFmtId="164" fontId="4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0" borderId="1" xfId="0" applyFont="1" applyBorder="1"/>
    <xf numFmtId="0" fontId="3" fillId="4" borderId="1" xfId="0" applyFont="1" applyFill="1" applyBorder="1"/>
    <xf numFmtId="0" fontId="4" fillId="4" borderId="1" xfId="0" applyFont="1" applyFill="1" applyBorder="1"/>
    <xf numFmtId="0" fontId="10" fillId="0" borderId="0" xfId="0" applyFont="1"/>
    <xf numFmtId="0" fontId="11" fillId="0" borderId="0" xfId="0" applyFont="1"/>
    <xf numFmtId="0" fontId="12" fillId="6" borderId="0" xfId="0" applyFont="1" applyFill="1"/>
    <xf numFmtId="0" fontId="13" fillId="3" borderId="1" xfId="0" applyFont="1" applyFill="1" applyBorder="1" applyAlignment="1">
      <alignment vertical="top" wrapText="1"/>
    </xf>
    <xf numFmtId="0" fontId="14" fillId="0" borderId="0" xfId="0" applyFont="1"/>
    <xf numFmtId="0" fontId="15" fillId="0" borderId="0" xfId="0" applyFont="1"/>
    <xf numFmtId="0" fontId="4" fillId="0" borderId="0" xfId="0" applyFont="1" applyAlignment="1">
      <alignment vertical="top" wrapText="1"/>
    </xf>
  </cellXfs>
  <cellStyles count="1"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tabSelected="1" workbookViewId="0"/>
  </sheetViews>
  <sheetFormatPr defaultRowHeight="14.4" x14ac:dyDescent="0.3"/>
  <cols>
    <col min="1" max="1" width="30" customWidth="1"/>
    <col min="2" max="2" width="76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 t="s">
        <v>3</v>
      </c>
    </row>
    <row r="5" spans="1:2" x14ac:dyDescent="0.3">
      <c r="A5" s="3" t="s">
        <v>4</v>
      </c>
      <c r="B5" s="4" t="s">
        <v>5</v>
      </c>
    </row>
    <row r="6" spans="1:2" x14ac:dyDescent="0.3">
      <c r="A6" s="3" t="s">
        <v>6</v>
      </c>
      <c r="B6" s="4" t="s">
        <v>7</v>
      </c>
    </row>
    <row r="7" spans="1:2" x14ac:dyDescent="0.3">
      <c r="A7" s="3" t="s">
        <v>8</v>
      </c>
      <c r="B7" s="4" t="s">
        <v>9</v>
      </c>
    </row>
    <row r="8" spans="1:2" x14ac:dyDescent="0.3">
      <c r="A8" s="3" t="s">
        <v>10</v>
      </c>
      <c r="B8" s="4" t="s">
        <v>11</v>
      </c>
    </row>
    <row r="9" spans="1:2" x14ac:dyDescent="0.3">
      <c r="A9" s="3" t="s">
        <v>12</v>
      </c>
      <c r="B9" s="4" t="s">
        <v>13</v>
      </c>
    </row>
    <row r="10" spans="1:2" x14ac:dyDescent="0.3">
      <c r="A10" s="3" t="s">
        <v>14</v>
      </c>
      <c r="B10" s="4" t="s">
        <v>15</v>
      </c>
    </row>
    <row r="11" spans="1:2" x14ac:dyDescent="0.3">
      <c r="A11" s="3" t="s">
        <v>16</v>
      </c>
      <c r="B11" s="4">
        <v>32</v>
      </c>
    </row>
    <row r="12" spans="1:2" x14ac:dyDescent="0.3">
      <c r="A12" s="3" t="s">
        <v>17</v>
      </c>
      <c r="B12" s="4" t="s">
        <v>18</v>
      </c>
    </row>
    <row r="13" spans="1:2" x14ac:dyDescent="0.3">
      <c r="A13" s="3" t="s">
        <v>19</v>
      </c>
      <c r="B13" s="4" t="s">
        <v>20</v>
      </c>
    </row>
    <row r="14" spans="1:2" x14ac:dyDescent="0.3">
      <c r="A14" s="3" t="s">
        <v>21</v>
      </c>
      <c r="B14" s="4" t="s">
        <v>22</v>
      </c>
    </row>
    <row r="15" spans="1:2" x14ac:dyDescent="0.3">
      <c r="A15" s="3" t="s">
        <v>23</v>
      </c>
      <c r="B15" s="4" t="s">
        <v>24</v>
      </c>
    </row>
    <row r="17" spans="1:2" x14ac:dyDescent="0.3">
      <c r="A17" s="5" t="s">
        <v>25</v>
      </c>
    </row>
    <row r="18" spans="1:2" ht="30" customHeight="1" x14ac:dyDescent="0.3">
      <c r="A18" s="6" t="s">
        <v>26</v>
      </c>
      <c r="B18" s="6" t="s">
        <v>16</v>
      </c>
    </row>
    <row r="19" spans="1:2" x14ac:dyDescent="0.3">
      <c r="A19" s="7" t="s">
        <v>27</v>
      </c>
      <c r="B19" s="8">
        <f>COUNTIFS('Data Dictionary'!$J$4:$J$35,"ครบทุกแถว")</f>
        <v>14</v>
      </c>
    </row>
    <row r="20" spans="1:2" x14ac:dyDescent="0.3">
      <c r="A20" s="7" t="s">
        <v>28</v>
      </c>
      <c r="B20" s="8">
        <f>COUNTIFS('Data Dictionary'!$J$4:$J$35,"มีบ้างไม่มีบ้าง")</f>
        <v>8</v>
      </c>
    </row>
    <row r="21" spans="1:2" x14ac:dyDescent="0.3">
      <c r="A21" s="7" t="s">
        <v>29</v>
      </c>
      <c r="B21" s="8">
        <f>COUNTIFS('Data Dictionary'!$J$4:$J$35,"ขาดบางแพลตฟอร์ม")</f>
        <v>5</v>
      </c>
    </row>
    <row r="22" spans="1:2" x14ac:dyDescent="0.3">
      <c r="A22" s="7" t="s">
        <v>30</v>
      </c>
      <c r="B22" s="8">
        <f>COUNTIFS('Data Dictionary'!$J$4:$J$35,"ยังไม่มีข้อมูล")</f>
        <v>5</v>
      </c>
    </row>
    <row r="23" spans="1:2" x14ac:dyDescent="0.3">
      <c r="A23" s="3" t="s">
        <v>31</v>
      </c>
      <c r="B23" s="9">
        <f>SUM(B19:B22)</f>
        <v>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5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" customWidth="1"/>
    <col min="2" max="2" width="22" customWidth="1"/>
    <col min="3" max="3" width="16" customWidth="1"/>
    <col min="4" max="4" width="9" customWidth="1"/>
    <col min="5" max="5" width="14" customWidth="1"/>
    <col min="6" max="6" width="42" customWidth="1"/>
    <col min="7" max="9" width="10" customWidth="1"/>
    <col min="10" max="10" width="18" customWidth="1"/>
    <col min="11" max="11" width="60" customWidth="1"/>
  </cols>
  <sheetData>
    <row r="1" spans="1:11" ht="16.8" x14ac:dyDescent="0.3">
      <c r="A1" s="10" t="s">
        <v>32</v>
      </c>
    </row>
    <row r="2" spans="1:11" x14ac:dyDescent="0.3">
      <c r="A2" s="2" t="s">
        <v>33</v>
      </c>
    </row>
    <row r="3" spans="1:11" ht="30" customHeight="1" x14ac:dyDescent="0.3">
      <c r="A3" s="6" t="s">
        <v>34</v>
      </c>
      <c r="B3" s="6" t="s">
        <v>35</v>
      </c>
      <c r="C3" s="6" t="s">
        <v>36</v>
      </c>
      <c r="D3" s="6" t="s">
        <v>37</v>
      </c>
      <c r="E3" s="6" t="s">
        <v>38</v>
      </c>
      <c r="F3" s="6" t="s">
        <v>39</v>
      </c>
      <c r="G3" s="6" t="s">
        <v>40</v>
      </c>
      <c r="H3" s="6" t="s">
        <v>41</v>
      </c>
      <c r="I3" s="6" t="s">
        <v>42</v>
      </c>
      <c r="J3" s="6" t="s">
        <v>26</v>
      </c>
      <c r="K3" s="6" t="s">
        <v>43</v>
      </c>
    </row>
    <row r="4" spans="1:11" ht="26.4" x14ac:dyDescent="0.3">
      <c r="A4" s="11">
        <v>1</v>
      </c>
      <c r="B4" s="12" t="s">
        <v>44</v>
      </c>
      <c r="C4" s="11" t="s">
        <v>45</v>
      </c>
      <c r="D4" s="11" t="s">
        <v>46</v>
      </c>
      <c r="E4" s="11" t="s">
        <v>47</v>
      </c>
      <c r="F4" s="13" t="s">
        <v>48</v>
      </c>
      <c r="G4" s="14">
        <v>1</v>
      </c>
      <c r="H4" s="14">
        <v>1</v>
      </c>
      <c r="I4" s="14">
        <v>1</v>
      </c>
      <c r="J4" s="15" t="s">
        <v>49</v>
      </c>
      <c r="K4" s="13" t="s">
        <v>50</v>
      </c>
    </row>
    <row r="5" spans="1:11" x14ac:dyDescent="0.3">
      <c r="A5" s="11">
        <v>2</v>
      </c>
      <c r="B5" s="16" t="s">
        <v>51</v>
      </c>
      <c r="C5" s="11" t="s">
        <v>52</v>
      </c>
      <c r="D5" s="11" t="s">
        <v>46</v>
      </c>
      <c r="E5" s="11" t="s">
        <v>47</v>
      </c>
      <c r="F5" s="13" t="s">
        <v>53</v>
      </c>
      <c r="G5" s="14">
        <v>1</v>
      </c>
      <c r="H5" s="14">
        <v>1</v>
      </c>
      <c r="I5" s="14">
        <v>1</v>
      </c>
      <c r="J5" s="15" t="s">
        <v>49</v>
      </c>
      <c r="K5" s="13" t="s">
        <v>54</v>
      </c>
    </row>
    <row r="6" spans="1:11" x14ac:dyDescent="0.3">
      <c r="A6" s="11">
        <v>3</v>
      </c>
      <c r="B6" s="16" t="s">
        <v>55</v>
      </c>
      <c r="C6" s="11" t="s">
        <v>56</v>
      </c>
      <c r="D6" s="11" t="s">
        <v>46</v>
      </c>
      <c r="E6" s="11" t="s">
        <v>47</v>
      </c>
      <c r="F6" s="13" t="s">
        <v>57</v>
      </c>
      <c r="G6" s="14">
        <v>1</v>
      </c>
      <c r="H6" s="14">
        <v>1</v>
      </c>
      <c r="I6" s="14">
        <v>1</v>
      </c>
      <c r="J6" s="15" t="s">
        <v>49</v>
      </c>
      <c r="K6" s="13"/>
    </row>
    <row r="7" spans="1:11" x14ac:dyDescent="0.3">
      <c r="A7" s="11">
        <v>4</v>
      </c>
      <c r="B7" s="16" t="s">
        <v>58</v>
      </c>
      <c r="C7" s="11" t="s">
        <v>59</v>
      </c>
      <c r="D7" s="11" t="s">
        <v>46</v>
      </c>
      <c r="E7" s="11" t="s">
        <v>47</v>
      </c>
      <c r="F7" s="13" t="s">
        <v>60</v>
      </c>
      <c r="G7" s="14">
        <v>1</v>
      </c>
      <c r="H7" s="14">
        <v>1</v>
      </c>
      <c r="I7" s="14">
        <v>1</v>
      </c>
      <c r="J7" s="15" t="s">
        <v>49</v>
      </c>
      <c r="K7" s="13" t="s">
        <v>61</v>
      </c>
    </row>
    <row r="8" spans="1:11" x14ac:dyDescent="0.3">
      <c r="A8" s="11">
        <v>5</v>
      </c>
      <c r="B8" s="16" t="s">
        <v>62</v>
      </c>
      <c r="C8" s="11" t="s">
        <v>63</v>
      </c>
      <c r="D8" s="11" t="s">
        <v>46</v>
      </c>
      <c r="E8" s="11" t="s">
        <v>64</v>
      </c>
      <c r="F8" s="13" t="s">
        <v>65</v>
      </c>
      <c r="G8" s="14">
        <v>1</v>
      </c>
      <c r="H8" s="14">
        <v>1</v>
      </c>
      <c r="I8" s="14">
        <v>1</v>
      </c>
      <c r="J8" s="15" t="s">
        <v>49</v>
      </c>
      <c r="K8" s="13" t="s">
        <v>66</v>
      </c>
    </row>
    <row r="9" spans="1:11" x14ac:dyDescent="0.3">
      <c r="A9" s="17">
        <v>6</v>
      </c>
      <c r="B9" s="18" t="s">
        <v>67</v>
      </c>
      <c r="C9" s="17" t="s">
        <v>63</v>
      </c>
      <c r="D9" s="17" t="s">
        <v>68</v>
      </c>
      <c r="E9" s="17" t="s">
        <v>64</v>
      </c>
      <c r="F9" s="19" t="s">
        <v>69</v>
      </c>
      <c r="G9" s="20">
        <v>1</v>
      </c>
      <c r="H9" s="20">
        <v>0.79300000000000004</v>
      </c>
      <c r="I9" s="20">
        <v>0.83299999999999996</v>
      </c>
      <c r="J9" s="21" t="s">
        <v>28</v>
      </c>
      <c r="K9" s="19"/>
    </row>
    <row r="10" spans="1:11" x14ac:dyDescent="0.3">
      <c r="A10" s="22">
        <v>7</v>
      </c>
      <c r="B10" s="23" t="s">
        <v>70</v>
      </c>
      <c r="C10" s="22" t="s">
        <v>63</v>
      </c>
      <c r="D10" s="22" t="s">
        <v>68</v>
      </c>
      <c r="E10" s="22" t="s">
        <v>64</v>
      </c>
      <c r="F10" s="24" t="s">
        <v>71</v>
      </c>
      <c r="G10" s="25">
        <v>0</v>
      </c>
      <c r="H10" s="25">
        <v>0.78600000000000003</v>
      </c>
      <c r="I10" s="25">
        <v>0.91400000000000003</v>
      </c>
      <c r="J10" s="26" t="s">
        <v>29</v>
      </c>
      <c r="K10" s="24" t="s">
        <v>72</v>
      </c>
    </row>
    <row r="11" spans="1:11" x14ac:dyDescent="0.3">
      <c r="A11" s="11">
        <v>8</v>
      </c>
      <c r="B11" s="16" t="s">
        <v>73</v>
      </c>
      <c r="C11" s="11" t="s">
        <v>45</v>
      </c>
      <c r="D11" s="11" t="s">
        <v>68</v>
      </c>
      <c r="E11" s="11" t="s">
        <v>26</v>
      </c>
      <c r="F11" s="13" t="s">
        <v>74</v>
      </c>
      <c r="G11" s="14">
        <v>1</v>
      </c>
      <c r="H11" s="14">
        <v>1</v>
      </c>
      <c r="I11" s="14">
        <v>1</v>
      </c>
      <c r="J11" s="15" t="s">
        <v>49</v>
      </c>
      <c r="K11" s="13" t="s">
        <v>75</v>
      </c>
    </row>
    <row r="12" spans="1:11" x14ac:dyDescent="0.3">
      <c r="A12" s="11">
        <v>9</v>
      </c>
      <c r="B12" s="16" t="s">
        <v>76</v>
      </c>
      <c r="C12" s="11" t="s">
        <v>52</v>
      </c>
      <c r="D12" s="11" t="s">
        <v>46</v>
      </c>
      <c r="E12" s="11" t="s">
        <v>26</v>
      </c>
      <c r="F12" s="13" t="s">
        <v>77</v>
      </c>
      <c r="G12" s="14">
        <v>1</v>
      </c>
      <c r="H12" s="14">
        <v>1</v>
      </c>
      <c r="I12" s="14">
        <v>1</v>
      </c>
      <c r="J12" s="15" t="s">
        <v>49</v>
      </c>
      <c r="K12" s="13" t="s">
        <v>78</v>
      </c>
    </row>
    <row r="13" spans="1:11" x14ac:dyDescent="0.3">
      <c r="A13" s="17">
        <v>10</v>
      </c>
      <c r="B13" s="18" t="s">
        <v>79</v>
      </c>
      <c r="C13" s="17" t="s">
        <v>45</v>
      </c>
      <c r="D13" s="17" t="s">
        <v>68</v>
      </c>
      <c r="E13" s="17" t="s">
        <v>26</v>
      </c>
      <c r="F13" s="19" t="s">
        <v>80</v>
      </c>
      <c r="G13" s="20">
        <v>0.97099999999999997</v>
      </c>
      <c r="H13" s="20">
        <v>0.998</v>
      </c>
      <c r="I13" s="20">
        <v>1</v>
      </c>
      <c r="J13" s="21" t="s">
        <v>28</v>
      </c>
      <c r="K13" s="19"/>
    </row>
    <row r="14" spans="1:11" x14ac:dyDescent="0.3">
      <c r="A14" s="17">
        <v>11</v>
      </c>
      <c r="B14" s="27" t="s">
        <v>81</v>
      </c>
      <c r="C14" s="17" t="s">
        <v>59</v>
      </c>
      <c r="D14" s="17" t="s">
        <v>68</v>
      </c>
      <c r="E14" s="17" t="s">
        <v>82</v>
      </c>
      <c r="F14" s="19" t="s">
        <v>83</v>
      </c>
      <c r="G14" s="20">
        <v>1</v>
      </c>
      <c r="H14" s="20">
        <v>0.97199999999999998</v>
      </c>
      <c r="I14" s="20">
        <v>0.97499999999999998</v>
      </c>
      <c r="J14" s="21" t="s">
        <v>28</v>
      </c>
      <c r="K14" s="19" t="s">
        <v>84</v>
      </c>
    </row>
    <row r="15" spans="1:11" x14ac:dyDescent="0.3">
      <c r="A15" s="11">
        <v>12</v>
      </c>
      <c r="B15" s="16" t="s">
        <v>85</v>
      </c>
      <c r="C15" s="11" t="s">
        <v>86</v>
      </c>
      <c r="D15" s="11" t="s">
        <v>68</v>
      </c>
      <c r="E15" s="11" t="s">
        <v>82</v>
      </c>
      <c r="F15" s="13" t="s">
        <v>87</v>
      </c>
      <c r="G15" s="14">
        <v>1</v>
      </c>
      <c r="H15" s="14">
        <v>1</v>
      </c>
      <c r="I15" s="14">
        <v>1</v>
      </c>
      <c r="J15" s="15" t="s">
        <v>49</v>
      </c>
      <c r="K15" s="13"/>
    </row>
    <row r="16" spans="1:11" x14ac:dyDescent="0.3">
      <c r="A16" s="17">
        <v>13</v>
      </c>
      <c r="B16" s="18" t="s">
        <v>88</v>
      </c>
      <c r="C16" s="17" t="s">
        <v>89</v>
      </c>
      <c r="D16" s="17" t="s">
        <v>68</v>
      </c>
      <c r="E16" s="17" t="s">
        <v>82</v>
      </c>
      <c r="F16" s="19" t="s">
        <v>90</v>
      </c>
      <c r="G16" s="20">
        <v>0.61199999999999999</v>
      </c>
      <c r="H16" s="20">
        <v>1</v>
      </c>
      <c r="I16" s="20">
        <v>0.86499999999999999</v>
      </c>
      <c r="J16" s="21" t="s">
        <v>28</v>
      </c>
      <c r="K16" s="19"/>
    </row>
    <row r="17" spans="1:11" x14ac:dyDescent="0.3">
      <c r="A17" s="11">
        <v>14</v>
      </c>
      <c r="B17" s="16" t="s">
        <v>91</v>
      </c>
      <c r="C17" s="11" t="s">
        <v>92</v>
      </c>
      <c r="D17" s="11" t="s">
        <v>68</v>
      </c>
      <c r="E17" s="11" t="s">
        <v>82</v>
      </c>
      <c r="F17" s="13" t="s">
        <v>93</v>
      </c>
      <c r="G17" s="14">
        <v>1</v>
      </c>
      <c r="H17" s="14">
        <v>1</v>
      </c>
      <c r="I17" s="14">
        <v>1</v>
      </c>
      <c r="J17" s="15" t="s">
        <v>49</v>
      </c>
      <c r="K17" s="13" t="s">
        <v>94</v>
      </c>
    </row>
    <row r="18" spans="1:11" x14ac:dyDescent="0.3">
      <c r="A18" s="11">
        <v>15</v>
      </c>
      <c r="B18" s="16" t="s">
        <v>95</v>
      </c>
      <c r="C18" s="11" t="s">
        <v>96</v>
      </c>
      <c r="D18" s="11" t="s">
        <v>68</v>
      </c>
      <c r="E18" s="11" t="s">
        <v>97</v>
      </c>
      <c r="F18" s="13" t="s">
        <v>98</v>
      </c>
      <c r="G18" s="14">
        <v>1</v>
      </c>
      <c r="H18" s="14">
        <v>1</v>
      </c>
      <c r="I18" s="14">
        <v>1</v>
      </c>
      <c r="J18" s="15" t="s">
        <v>49</v>
      </c>
      <c r="K18" s="13"/>
    </row>
    <row r="19" spans="1:11" x14ac:dyDescent="0.3">
      <c r="A19" s="28">
        <v>16</v>
      </c>
      <c r="B19" s="29" t="s">
        <v>99</v>
      </c>
      <c r="C19" s="28" t="s">
        <v>96</v>
      </c>
      <c r="D19" s="28" t="s">
        <v>68</v>
      </c>
      <c r="E19" s="28" t="s">
        <v>97</v>
      </c>
      <c r="F19" s="30" t="s">
        <v>100</v>
      </c>
      <c r="G19" s="31">
        <v>0</v>
      </c>
      <c r="H19" s="31">
        <v>0</v>
      </c>
      <c r="I19" s="31">
        <v>0</v>
      </c>
      <c r="J19" s="32" t="s">
        <v>101</v>
      </c>
      <c r="K19" s="30" t="s">
        <v>102</v>
      </c>
    </row>
    <row r="20" spans="1:11" x14ac:dyDescent="0.3">
      <c r="A20" s="17">
        <v>17</v>
      </c>
      <c r="B20" s="18" t="s">
        <v>103</v>
      </c>
      <c r="C20" s="17" t="s">
        <v>96</v>
      </c>
      <c r="D20" s="17" t="s">
        <v>68</v>
      </c>
      <c r="E20" s="17" t="s">
        <v>97</v>
      </c>
      <c r="F20" s="19" t="s">
        <v>104</v>
      </c>
      <c r="G20" s="20">
        <v>2.3E-2</v>
      </c>
      <c r="H20" s="20">
        <v>1</v>
      </c>
      <c r="I20" s="20">
        <v>1</v>
      </c>
      <c r="J20" s="21" t="s">
        <v>28</v>
      </c>
      <c r="K20" s="19" t="s">
        <v>105</v>
      </c>
    </row>
    <row r="21" spans="1:11" x14ac:dyDescent="0.3">
      <c r="A21" s="17">
        <v>18</v>
      </c>
      <c r="B21" s="18" t="s">
        <v>106</v>
      </c>
      <c r="C21" s="17" t="s">
        <v>96</v>
      </c>
      <c r="D21" s="17" t="s">
        <v>68</v>
      </c>
      <c r="E21" s="17" t="s">
        <v>97</v>
      </c>
      <c r="F21" s="19" t="s">
        <v>107</v>
      </c>
      <c r="G21" s="20">
        <v>0.61</v>
      </c>
      <c r="H21" s="20">
        <v>1</v>
      </c>
      <c r="I21" s="20">
        <v>1</v>
      </c>
      <c r="J21" s="21" t="s">
        <v>28</v>
      </c>
      <c r="K21" s="19"/>
    </row>
    <row r="22" spans="1:11" x14ac:dyDescent="0.3">
      <c r="A22" s="11">
        <v>19</v>
      </c>
      <c r="B22" s="16" t="s">
        <v>108</v>
      </c>
      <c r="C22" s="11" t="s">
        <v>96</v>
      </c>
      <c r="D22" s="11" t="s">
        <v>68</v>
      </c>
      <c r="E22" s="11" t="s">
        <v>109</v>
      </c>
      <c r="F22" s="13" t="s">
        <v>110</v>
      </c>
      <c r="G22" s="14">
        <v>1</v>
      </c>
      <c r="H22" s="14">
        <v>1</v>
      </c>
      <c r="I22" s="14">
        <v>1</v>
      </c>
      <c r="J22" s="15" t="s">
        <v>49</v>
      </c>
      <c r="K22" s="13" t="s">
        <v>111</v>
      </c>
    </row>
    <row r="23" spans="1:11" x14ac:dyDescent="0.3">
      <c r="A23" s="17">
        <v>20</v>
      </c>
      <c r="B23" s="18" t="s">
        <v>112</v>
      </c>
      <c r="C23" s="17" t="s">
        <v>45</v>
      </c>
      <c r="D23" s="17" t="s">
        <v>68</v>
      </c>
      <c r="E23" s="17" t="s">
        <v>109</v>
      </c>
      <c r="F23" s="19" t="s">
        <v>113</v>
      </c>
      <c r="G23" s="20">
        <v>0.85099999999999998</v>
      </c>
      <c r="H23" s="20">
        <v>0.80900000000000005</v>
      </c>
      <c r="I23" s="20">
        <v>1</v>
      </c>
      <c r="J23" s="21" t="s">
        <v>28</v>
      </c>
      <c r="K23" s="19"/>
    </row>
    <row r="24" spans="1:11" x14ac:dyDescent="0.3">
      <c r="A24" s="17">
        <v>21</v>
      </c>
      <c r="B24" s="27" t="s">
        <v>114</v>
      </c>
      <c r="C24" s="17" t="s">
        <v>45</v>
      </c>
      <c r="D24" s="17" t="s">
        <v>68</v>
      </c>
      <c r="E24" s="17" t="s">
        <v>109</v>
      </c>
      <c r="F24" s="19" t="s">
        <v>115</v>
      </c>
      <c r="G24" s="20">
        <v>0.85099999999999998</v>
      </c>
      <c r="H24" s="20">
        <v>0.80900000000000005</v>
      </c>
      <c r="I24" s="20">
        <v>0.86099999999999999</v>
      </c>
      <c r="J24" s="21" t="s">
        <v>28</v>
      </c>
      <c r="K24" s="19" t="s">
        <v>116</v>
      </c>
    </row>
    <row r="25" spans="1:11" x14ac:dyDescent="0.3">
      <c r="A25" s="28">
        <v>22</v>
      </c>
      <c r="B25" s="29" t="s">
        <v>117</v>
      </c>
      <c r="C25" s="28" t="s">
        <v>96</v>
      </c>
      <c r="D25" s="28" t="s">
        <v>68</v>
      </c>
      <c r="E25" s="28" t="s">
        <v>118</v>
      </c>
      <c r="F25" s="30" t="s">
        <v>119</v>
      </c>
      <c r="G25" s="31">
        <v>0</v>
      </c>
      <c r="H25" s="31">
        <v>0</v>
      </c>
      <c r="I25" s="31">
        <v>0</v>
      </c>
      <c r="J25" s="32" t="s">
        <v>101</v>
      </c>
      <c r="K25" s="30" t="s">
        <v>120</v>
      </c>
    </row>
    <row r="26" spans="1:11" x14ac:dyDescent="0.3">
      <c r="A26" s="28">
        <v>23</v>
      </c>
      <c r="B26" s="29" t="s">
        <v>121</v>
      </c>
      <c r="C26" s="28" t="s">
        <v>96</v>
      </c>
      <c r="D26" s="28" t="s">
        <v>68</v>
      </c>
      <c r="E26" s="28" t="s">
        <v>118</v>
      </c>
      <c r="F26" s="30" t="s">
        <v>122</v>
      </c>
      <c r="G26" s="31">
        <v>0</v>
      </c>
      <c r="H26" s="31">
        <v>0</v>
      </c>
      <c r="I26" s="31">
        <v>0</v>
      </c>
      <c r="J26" s="32" t="s">
        <v>101</v>
      </c>
      <c r="K26" s="30" t="s">
        <v>123</v>
      </c>
    </row>
    <row r="27" spans="1:11" x14ac:dyDescent="0.3">
      <c r="A27" s="28">
        <v>24</v>
      </c>
      <c r="B27" s="29" t="s">
        <v>124</v>
      </c>
      <c r="C27" s="28" t="s">
        <v>96</v>
      </c>
      <c r="D27" s="28" t="s">
        <v>68</v>
      </c>
      <c r="E27" s="28" t="s">
        <v>118</v>
      </c>
      <c r="F27" s="30" t="s">
        <v>125</v>
      </c>
      <c r="G27" s="31">
        <v>0</v>
      </c>
      <c r="H27" s="31">
        <v>0</v>
      </c>
      <c r="I27" s="31">
        <v>0</v>
      </c>
      <c r="J27" s="32" t="s">
        <v>101</v>
      </c>
      <c r="K27" s="30" t="s">
        <v>123</v>
      </c>
    </row>
    <row r="28" spans="1:11" ht="26.4" x14ac:dyDescent="0.3">
      <c r="A28" s="11">
        <v>25</v>
      </c>
      <c r="B28" s="16" t="s">
        <v>126</v>
      </c>
      <c r="C28" s="11" t="s">
        <v>96</v>
      </c>
      <c r="D28" s="11" t="s">
        <v>68</v>
      </c>
      <c r="E28" s="11" t="s">
        <v>127</v>
      </c>
      <c r="F28" s="13" t="s">
        <v>128</v>
      </c>
      <c r="G28" s="14">
        <v>1</v>
      </c>
      <c r="H28" s="14">
        <v>1</v>
      </c>
      <c r="I28" s="14">
        <v>1</v>
      </c>
      <c r="J28" s="15" t="s">
        <v>49</v>
      </c>
      <c r="K28" s="13" t="s">
        <v>129</v>
      </c>
    </row>
    <row r="29" spans="1:11" x14ac:dyDescent="0.3">
      <c r="A29" s="28">
        <v>26</v>
      </c>
      <c r="B29" s="29" t="s">
        <v>130</v>
      </c>
      <c r="C29" s="28" t="s">
        <v>96</v>
      </c>
      <c r="D29" s="28" t="s">
        <v>68</v>
      </c>
      <c r="E29" s="28" t="s">
        <v>127</v>
      </c>
      <c r="F29" s="30" t="s">
        <v>131</v>
      </c>
      <c r="G29" s="31">
        <v>0</v>
      </c>
      <c r="H29" s="31">
        <v>0</v>
      </c>
      <c r="I29" s="31">
        <v>0</v>
      </c>
      <c r="J29" s="32" t="s">
        <v>101</v>
      </c>
      <c r="K29" s="30" t="s">
        <v>132</v>
      </c>
    </row>
    <row r="30" spans="1:11" ht="26.4" x14ac:dyDescent="0.3">
      <c r="A30" s="22">
        <v>27</v>
      </c>
      <c r="B30" s="23" t="s">
        <v>133</v>
      </c>
      <c r="C30" s="22" t="s">
        <v>45</v>
      </c>
      <c r="D30" s="22" t="s">
        <v>68</v>
      </c>
      <c r="E30" s="22" t="s">
        <v>134</v>
      </c>
      <c r="F30" s="24" t="s">
        <v>135</v>
      </c>
      <c r="G30" s="25">
        <v>0</v>
      </c>
      <c r="H30" s="25">
        <v>0.998</v>
      </c>
      <c r="I30" s="25">
        <v>0.998</v>
      </c>
      <c r="J30" s="26" t="s">
        <v>29</v>
      </c>
      <c r="K30" s="24" t="s">
        <v>136</v>
      </c>
    </row>
    <row r="31" spans="1:11" x14ac:dyDescent="0.3">
      <c r="A31" s="22">
        <v>28</v>
      </c>
      <c r="B31" s="23" t="s">
        <v>137</v>
      </c>
      <c r="C31" s="22" t="s">
        <v>45</v>
      </c>
      <c r="D31" s="22" t="s">
        <v>68</v>
      </c>
      <c r="E31" s="22" t="s">
        <v>134</v>
      </c>
      <c r="F31" s="24" t="s">
        <v>138</v>
      </c>
      <c r="G31" s="25">
        <v>0</v>
      </c>
      <c r="H31" s="25">
        <v>1</v>
      </c>
      <c r="I31" s="25">
        <v>1</v>
      </c>
      <c r="J31" s="26" t="s">
        <v>29</v>
      </c>
      <c r="K31" s="24" t="s">
        <v>139</v>
      </c>
    </row>
    <row r="32" spans="1:11" x14ac:dyDescent="0.3">
      <c r="A32" s="22">
        <v>29</v>
      </c>
      <c r="B32" s="23" t="s">
        <v>140</v>
      </c>
      <c r="C32" s="22" t="s">
        <v>89</v>
      </c>
      <c r="D32" s="22" t="s">
        <v>68</v>
      </c>
      <c r="E32" s="22" t="s">
        <v>141</v>
      </c>
      <c r="F32" s="24" t="s">
        <v>142</v>
      </c>
      <c r="G32" s="25">
        <v>0</v>
      </c>
      <c r="H32" s="25">
        <v>0.23899999999999999</v>
      </c>
      <c r="I32" s="25">
        <v>0.17199999999999999</v>
      </c>
      <c r="J32" s="26" t="s">
        <v>29</v>
      </c>
      <c r="K32" s="24" t="s">
        <v>143</v>
      </c>
    </row>
    <row r="33" spans="1:11" x14ac:dyDescent="0.3">
      <c r="A33" s="22">
        <v>30</v>
      </c>
      <c r="B33" s="23" t="s">
        <v>144</v>
      </c>
      <c r="C33" s="22" t="s">
        <v>45</v>
      </c>
      <c r="D33" s="22" t="s">
        <v>68</v>
      </c>
      <c r="E33" s="22" t="s">
        <v>141</v>
      </c>
      <c r="F33" s="24" t="s">
        <v>145</v>
      </c>
      <c r="G33" s="25">
        <v>0</v>
      </c>
      <c r="H33" s="25">
        <v>0.24099999999999999</v>
      </c>
      <c r="I33" s="25">
        <v>1.2E-2</v>
      </c>
      <c r="J33" s="26" t="s">
        <v>29</v>
      </c>
      <c r="K33" s="24" t="s">
        <v>146</v>
      </c>
    </row>
    <row r="34" spans="1:11" ht="26.4" x14ac:dyDescent="0.3">
      <c r="A34" s="11">
        <v>31</v>
      </c>
      <c r="B34" s="16" t="s">
        <v>147</v>
      </c>
      <c r="C34" s="11" t="s">
        <v>86</v>
      </c>
      <c r="D34" s="11" t="s">
        <v>68</v>
      </c>
      <c r="E34" s="11" t="s">
        <v>148</v>
      </c>
      <c r="F34" s="13" t="s">
        <v>149</v>
      </c>
      <c r="G34" s="14">
        <v>1</v>
      </c>
      <c r="H34" s="14">
        <v>1</v>
      </c>
      <c r="I34" s="14">
        <v>1</v>
      </c>
      <c r="J34" s="15" t="s">
        <v>49</v>
      </c>
      <c r="K34" s="13" t="s">
        <v>150</v>
      </c>
    </row>
    <row r="35" spans="1:11" x14ac:dyDescent="0.3">
      <c r="A35" s="11">
        <v>32</v>
      </c>
      <c r="B35" s="16" t="s">
        <v>151</v>
      </c>
      <c r="C35" s="11" t="s">
        <v>63</v>
      </c>
      <c r="D35" s="11" t="s">
        <v>46</v>
      </c>
      <c r="E35" s="11" t="s">
        <v>148</v>
      </c>
      <c r="F35" s="13" t="s">
        <v>152</v>
      </c>
      <c r="G35" s="14">
        <v>1</v>
      </c>
      <c r="H35" s="14">
        <v>1</v>
      </c>
      <c r="I35" s="14">
        <v>1</v>
      </c>
      <c r="J35" s="15" t="s">
        <v>49</v>
      </c>
      <c r="K35" s="13" t="s">
        <v>153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workbookViewId="0">
      <pane ySplit="4" topLeftCell="A5" activePane="bottomLeft" state="frozen"/>
      <selection pane="bottomLeft"/>
    </sheetView>
  </sheetViews>
  <sheetFormatPr defaultRowHeight="14.4" x14ac:dyDescent="0.3"/>
  <cols>
    <col min="1" max="1" width="5" customWidth="1"/>
    <col min="2" max="2" width="30" customWidth="1"/>
    <col min="3" max="4" width="62" customWidth="1"/>
  </cols>
  <sheetData>
    <row r="1" spans="1:4" ht="17.399999999999999" x14ac:dyDescent="0.3">
      <c r="A1" s="1" t="s">
        <v>154</v>
      </c>
    </row>
    <row r="2" spans="1:4" x14ac:dyDescent="0.3">
      <c r="A2" s="2" t="s">
        <v>155</v>
      </c>
    </row>
    <row r="4" spans="1:4" ht="30" customHeight="1" x14ac:dyDescent="0.3">
      <c r="A4" s="6" t="s">
        <v>34</v>
      </c>
      <c r="B4" s="6" t="s">
        <v>156</v>
      </c>
      <c r="C4" s="6" t="s">
        <v>157</v>
      </c>
      <c r="D4" s="6" t="s">
        <v>158</v>
      </c>
    </row>
    <row r="5" spans="1:4" ht="58.05" customHeight="1" x14ac:dyDescent="0.3">
      <c r="A5" s="33">
        <v>1</v>
      </c>
      <c r="B5" s="34" t="s">
        <v>159</v>
      </c>
      <c r="C5" s="33" t="s">
        <v>160</v>
      </c>
      <c r="D5" s="33" t="s">
        <v>161</v>
      </c>
    </row>
    <row r="6" spans="1:4" ht="58.05" customHeight="1" x14ac:dyDescent="0.3">
      <c r="A6" s="33">
        <v>2</v>
      </c>
      <c r="B6" s="34" t="s">
        <v>162</v>
      </c>
      <c r="C6" s="33" t="s">
        <v>163</v>
      </c>
      <c r="D6" s="33" t="s">
        <v>164</v>
      </c>
    </row>
    <row r="7" spans="1:4" ht="58.05" customHeight="1" x14ac:dyDescent="0.3">
      <c r="A7" s="33">
        <v>3</v>
      </c>
      <c r="B7" s="34" t="s">
        <v>165</v>
      </c>
      <c r="C7" s="33" t="s">
        <v>166</v>
      </c>
      <c r="D7" s="33" t="s">
        <v>167</v>
      </c>
    </row>
    <row r="8" spans="1:4" ht="58.05" customHeight="1" x14ac:dyDescent="0.3">
      <c r="A8" s="33">
        <v>4</v>
      </c>
      <c r="B8" s="34" t="s">
        <v>168</v>
      </c>
      <c r="C8" s="33" t="s">
        <v>169</v>
      </c>
      <c r="D8" s="33" t="s">
        <v>170</v>
      </c>
    </row>
    <row r="9" spans="1:4" ht="58.05" customHeight="1" x14ac:dyDescent="0.3">
      <c r="A9" s="33">
        <v>5</v>
      </c>
      <c r="B9" s="34" t="s">
        <v>171</v>
      </c>
      <c r="C9" s="33" t="s">
        <v>172</v>
      </c>
      <c r="D9" s="33" t="s">
        <v>173</v>
      </c>
    </row>
    <row r="10" spans="1:4" ht="58.05" customHeight="1" x14ac:dyDescent="0.3">
      <c r="A10" s="33">
        <v>6</v>
      </c>
      <c r="B10" s="34" t="s">
        <v>174</v>
      </c>
      <c r="C10" s="33" t="s">
        <v>175</v>
      </c>
      <c r="D10" s="33" t="s">
        <v>176</v>
      </c>
    </row>
    <row r="11" spans="1:4" ht="58.05" customHeight="1" x14ac:dyDescent="0.3">
      <c r="A11" s="33">
        <v>7</v>
      </c>
      <c r="B11" s="34" t="s">
        <v>177</v>
      </c>
      <c r="C11" s="33" t="s">
        <v>178</v>
      </c>
      <c r="D11" s="33" t="s">
        <v>179</v>
      </c>
    </row>
    <row r="12" spans="1:4" ht="58.05" customHeight="1" x14ac:dyDescent="0.3">
      <c r="A12" s="33">
        <v>8</v>
      </c>
      <c r="B12" s="34" t="s">
        <v>180</v>
      </c>
      <c r="C12" s="33" t="s">
        <v>181</v>
      </c>
      <c r="D12" s="33" t="s">
        <v>182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9"/>
  <sheetViews>
    <sheetView workbookViewId="0"/>
  </sheetViews>
  <sheetFormatPr defaultRowHeight="14.4" x14ac:dyDescent="0.3"/>
  <cols>
    <col min="1" max="1" width="34" customWidth="1"/>
    <col min="2" max="2" width="14" customWidth="1"/>
    <col min="3" max="3" width="12" customWidth="1"/>
    <col min="4" max="4" width="46" customWidth="1"/>
  </cols>
  <sheetData>
    <row r="1" spans="1:4" ht="17.399999999999999" x14ac:dyDescent="0.3">
      <c r="A1" s="1" t="s">
        <v>183</v>
      </c>
    </row>
    <row r="2" spans="1:4" x14ac:dyDescent="0.3">
      <c r="A2" s="2" t="s">
        <v>184</v>
      </c>
    </row>
    <row r="4" spans="1:4" ht="30" customHeight="1" x14ac:dyDescent="0.3">
      <c r="A4" s="6" t="s">
        <v>185</v>
      </c>
      <c r="B4" s="6" t="s">
        <v>55</v>
      </c>
      <c r="C4" s="6" t="s">
        <v>53</v>
      </c>
      <c r="D4" s="6" t="s">
        <v>186</v>
      </c>
    </row>
    <row r="5" spans="1:4" x14ac:dyDescent="0.3">
      <c r="A5" s="35" t="s">
        <v>187</v>
      </c>
      <c r="B5" s="7" t="s">
        <v>188</v>
      </c>
      <c r="C5" s="7" t="s">
        <v>40</v>
      </c>
      <c r="D5" s="7" t="s">
        <v>187</v>
      </c>
    </row>
    <row r="6" spans="1:4" x14ac:dyDescent="0.3">
      <c r="A6" s="7" t="s">
        <v>187</v>
      </c>
      <c r="B6" s="7" t="s">
        <v>189</v>
      </c>
      <c r="C6" s="7" t="s">
        <v>42</v>
      </c>
      <c r="D6" s="7" t="s">
        <v>187</v>
      </c>
    </row>
    <row r="7" spans="1:4" x14ac:dyDescent="0.3">
      <c r="A7" s="36" t="s">
        <v>190</v>
      </c>
      <c r="B7" s="37" t="s">
        <v>191</v>
      </c>
      <c r="C7" s="37" t="s">
        <v>41</v>
      </c>
      <c r="D7" s="37" t="s">
        <v>192</v>
      </c>
    </row>
    <row r="8" spans="1:4" x14ac:dyDescent="0.3">
      <c r="A8" s="7" t="s">
        <v>190</v>
      </c>
      <c r="B8" s="7" t="s">
        <v>193</v>
      </c>
      <c r="C8" s="7" t="s">
        <v>42</v>
      </c>
      <c r="D8" s="7" t="s">
        <v>190</v>
      </c>
    </row>
    <row r="9" spans="1:4" x14ac:dyDescent="0.3">
      <c r="A9" s="36" t="s">
        <v>194</v>
      </c>
      <c r="B9" s="37" t="s">
        <v>195</v>
      </c>
      <c r="C9" s="37" t="s">
        <v>41</v>
      </c>
      <c r="D9" s="37" t="s">
        <v>196</v>
      </c>
    </row>
    <row r="10" spans="1:4" x14ac:dyDescent="0.3">
      <c r="A10" s="7" t="s">
        <v>194</v>
      </c>
      <c r="B10" s="7" t="s">
        <v>197</v>
      </c>
      <c r="C10" s="7" t="s">
        <v>42</v>
      </c>
      <c r="D10" s="7" t="s">
        <v>194</v>
      </c>
    </row>
    <row r="11" spans="1:4" x14ac:dyDescent="0.3">
      <c r="A11" s="36" t="s">
        <v>198</v>
      </c>
      <c r="B11" s="37" t="s">
        <v>199</v>
      </c>
      <c r="C11" s="37" t="s">
        <v>42</v>
      </c>
      <c r="D11" s="37" t="s">
        <v>200</v>
      </c>
    </row>
    <row r="12" spans="1:4" x14ac:dyDescent="0.3">
      <c r="A12" s="7" t="s">
        <v>198</v>
      </c>
      <c r="B12" s="7" t="s">
        <v>201</v>
      </c>
      <c r="C12" s="7" t="s">
        <v>42</v>
      </c>
      <c r="D12" s="7" t="s">
        <v>198</v>
      </c>
    </row>
    <row r="13" spans="1:4" x14ac:dyDescent="0.3">
      <c r="A13" s="35" t="s">
        <v>202</v>
      </c>
      <c r="B13" s="7" t="s">
        <v>203</v>
      </c>
      <c r="C13" s="7" t="s">
        <v>41</v>
      </c>
      <c r="D13" s="7" t="s">
        <v>202</v>
      </c>
    </row>
    <row r="14" spans="1:4" x14ac:dyDescent="0.3">
      <c r="A14" s="35" t="s">
        <v>204</v>
      </c>
      <c r="B14" s="7" t="s">
        <v>205</v>
      </c>
      <c r="C14" s="7" t="s">
        <v>41</v>
      </c>
      <c r="D14" s="7" t="s">
        <v>204</v>
      </c>
    </row>
    <row r="15" spans="1:4" x14ac:dyDescent="0.3">
      <c r="A15" s="36" t="s">
        <v>206</v>
      </c>
      <c r="B15" s="37" t="s">
        <v>207</v>
      </c>
      <c r="C15" s="37" t="s">
        <v>41</v>
      </c>
      <c r="D15" s="37" t="s">
        <v>208</v>
      </c>
    </row>
    <row r="16" spans="1:4" x14ac:dyDescent="0.3">
      <c r="A16" s="35" t="s">
        <v>209</v>
      </c>
      <c r="B16" s="7" t="s">
        <v>210</v>
      </c>
      <c r="C16" s="7" t="s">
        <v>42</v>
      </c>
      <c r="D16" s="7" t="s">
        <v>209</v>
      </c>
    </row>
    <row r="17" spans="1:4" x14ac:dyDescent="0.3">
      <c r="A17" s="35" t="s">
        <v>211</v>
      </c>
      <c r="B17" s="7" t="s">
        <v>212</v>
      </c>
      <c r="C17" s="7" t="s">
        <v>42</v>
      </c>
      <c r="D17" s="7" t="s">
        <v>211</v>
      </c>
    </row>
    <row r="19" spans="1:4" x14ac:dyDescent="0.3">
      <c r="A19" s="38" t="s">
        <v>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3"/>
  <sheetViews>
    <sheetView workbookViewId="0"/>
  </sheetViews>
  <sheetFormatPr defaultRowHeight="14.4" x14ac:dyDescent="0.3"/>
  <cols>
    <col min="1" max="1" width="18" customWidth="1"/>
    <col min="2" max="2" width="20" customWidth="1"/>
    <col min="3" max="3" width="56" customWidth="1"/>
  </cols>
  <sheetData>
    <row r="1" spans="1:3" ht="17.399999999999999" x14ac:dyDescent="0.3">
      <c r="A1" s="1" t="s">
        <v>214</v>
      </c>
    </row>
    <row r="3" spans="1:3" ht="30" customHeight="1" x14ac:dyDescent="0.3">
      <c r="A3" s="6" t="s">
        <v>35</v>
      </c>
      <c r="B3" s="6" t="s">
        <v>215</v>
      </c>
      <c r="C3" s="6" t="s">
        <v>216</v>
      </c>
    </row>
    <row r="4" spans="1:3" x14ac:dyDescent="0.3">
      <c r="A4" s="7" t="s">
        <v>51</v>
      </c>
      <c r="B4" s="35" t="s">
        <v>217</v>
      </c>
      <c r="C4" s="7" t="s">
        <v>218</v>
      </c>
    </row>
    <row r="5" spans="1:3" x14ac:dyDescent="0.3">
      <c r="A5" s="7" t="s">
        <v>51</v>
      </c>
      <c r="B5" s="35" t="s">
        <v>219</v>
      </c>
      <c r="C5" s="7" t="s">
        <v>220</v>
      </c>
    </row>
    <row r="6" spans="1:3" x14ac:dyDescent="0.3">
      <c r="A6" s="7" t="s">
        <v>51</v>
      </c>
      <c r="B6" s="35" t="s">
        <v>221</v>
      </c>
      <c r="C6" s="7" t="s">
        <v>222</v>
      </c>
    </row>
    <row r="7" spans="1:3" x14ac:dyDescent="0.3">
      <c r="A7" s="7" t="s">
        <v>76</v>
      </c>
      <c r="B7" s="35" t="s">
        <v>223</v>
      </c>
      <c r="C7" s="7" t="s">
        <v>224</v>
      </c>
    </row>
    <row r="8" spans="1:3" x14ac:dyDescent="0.3">
      <c r="A8" s="7" t="s">
        <v>76</v>
      </c>
      <c r="B8" s="35" t="s">
        <v>225</v>
      </c>
      <c r="C8" s="7" t="s">
        <v>226</v>
      </c>
    </row>
    <row r="9" spans="1:3" x14ac:dyDescent="0.3">
      <c r="A9" s="7" t="s">
        <v>76</v>
      </c>
      <c r="B9" s="35" t="s">
        <v>227</v>
      </c>
      <c r="C9" s="7" t="s">
        <v>228</v>
      </c>
    </row>
    <row r="10" spans="1:3" x14ac:dyDescent="0.3">
      <c r="A10" s="7" t="s">
        <v>76</v>
      </c>
      <c r="B10" s="35" t="s">
        <v>229</v>
      </c>
      <c r="C10" s="7" t="s">
        <v>230</v>
      </c>
    </row>
    <row r="11" spans="1:3" x14ac:dyDescent="0.3">
      <c r="A11" s="7" t="s">
        <v>76</v>
      </c>
      <c r="B11" s="35" t="s">
        <v>231</v>
      </c>
      <c r="C11" s="7" t="s">
        <v>232</v>
      </c>
    </row>
    <row r="12" spans="1:3" x14ac:dyDescent="0.3">
      <c r="A12" s="7" t="s">
        <v>76</v>
      </c>
      <c r="B12" s="35" t="s">
        <v>233</v>
      </c>
      <c r="C12" s="7" t="s">
        <v>234</v>
      </c>
    </row>
    <row r="13" spans="1:3" x14ac:dyDescent="0.3">
      <c r="A13" s="7" t="s">
        <v>76</v>
      </c>
      <c r="B13" s="35" t="s">
        <v>235</v>
      </c>
      <c r="C13" s="7" t="s">
        <v>236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65"/>
  <sheetViews>
    <sheetView workbookViewId="0"/>
  </sheetViews>
  <sheetFormatPr defaultRowHeight="14.4" x14ac:dyDescent="0.3"/>
  <cols>
    <col min="1" max="1" width="78" customWidth="1"/>
    <col min="2" max="2" width="16" customWidth="1"/>
    <col min="3" max="3" width="56" customWidth="1"/>
  </cols>
  <sheetData>
    <row r="1" spans="1:3" ht="17.399999999999999" x14ac:dyDescent="0.3">
      <c r="A1" s="1" t="s">
        <v>237</v>
      </c>
    </row>
    <row r="2" spans="1:3" x14ac:dyDescent="0.3">
      <c r="A2" s="2" t="s">
        <v>238</v>
      </c>
    </row>
    <row r="4" spans="1:3" ht="30" customHeight="1" x14ac:dyDescent="0.3">
      <c r="A4" s="6" t="s">
        <v>239</v>
      </c>
      <c r="B4" s="6" t="s">
        <v>240</v>
      </c>
      <c r="C4" s="6" t="s">
        <v>241</v>
      </c>
    </row>
    <row r="5" spans="1:3" ht="31.95" customHeight="1" x14ac:dyDescent="0.3">
      <c r="A5" s="34" t="s">
        <v>44</v>
      </c>
      <c r="B5" s="33" t="s">
        <v>242</v>
      </c>
      <c r="C5" s="33" t="s">
        <v>243</v>
      </c>
    </row>
    <row r="6" spans="1:3" ht="31.95" customHeight="1" x14ac:dyDescent="0.3">
      <c r="A6" s="34" t="s">
        <v>244</v>
      </c>
      <c r="B6" s="33" t="s">
        <v>242</v>
      </c>
      <c r="C6" s="33" t="s">
        <v>245</v>
      </c>
    </row>
    <row r="7" spans="1:3" ht="31.95" customHeight="1" x14ac:dyDescent="0.3">
      <c r="A7" s="34" t="s">
        <v>246</v>
      </c>
      <c r="B7" s="33" t="s">
        <v>247</v>
      </c>
      <c r="C7" s="33" t="s">
        <v>248</v>
      </c>
    </row>
    <row r="8" spans="1:3" ht="31.95" customHeight="1" x14ac:dyDescent="0.3">
      <c r="A8" s="34" t="s">
        <v>249</v>
      </c>
      <c r="B8" s="33" t="s">
        <v>247</v>
      </c>
      <c r="C8" s="33" t="s">
        <v>250</v>
      </c>
    </row>
    <row r="10" spans="1:3" ht="15.6" x14ac:dyDescent="0.3">
      <c r="A10" s="39" t="s">
        <v>251</v>
      </c>
    </row>
    <row r="11" spans="1:3" x14ac:dyDescent="0.3">
      <c r="A11" s="2" t="s">
        <v>252</v>
      </c>
    </row>
    <row r="12" spans="1:3" x14ac:dyDescent="0.3">
      <c r="A12" s="40" t="s">
        <v>253</v>
      </c>
    </row>
    <row r="13" spans="1:3" x14ac:dyDescent="0.3">
      <c r="A13" s="40" t="s">
        <v>254</v>
      </c>
    </row>
    <row r="14" spans="1:3" x14ac:dyDescent="0.3">
      <c r="A14" s="40" t="s">
        <v>255</v>
      </c>
    </row>
    <row r="15" spans="1:3" x14ac:dyDescent="0.3">
      <c r="A15" s="40" t="s">
        <v>256</v>
      </c>
    </row>
    <row r="16" spans="1:3" x14ac:dyDescent="0.3">
      <c r="A16" s="40" t="s">
        <v>257</v>
      </c>
    </row>
    <row r="17" spans="1:1" x14ac:dyDescent="0.3">
      <c r="A17" s="40" t="s">
        <v>258</v>
      </c>
    </row>
    <row r="18" spans="1:1" x14ac:dyDescent="0.3">
      <c r="A18" s="40" t="s">
        <v>259</v>
      </c>
    </row>
    <row r="19" spans="1:1" x14ac:dyDescent="0.3">
      <c r="A19" s="40" t="s">
        <v>260</v>
      </c>
    </row>
    <row r="20" spans="1:1" x14ac:dyDescent="0.3">
      <c r="A20" s="40" t="s">
        <v>261</v>
      </c>
    </row>
    <row r="21" spans="1:1" x14ac:dyDescent="0.3">
      <c r="A21" s="40" t="s">
        <v>262</v>
      </c>
    </row>
    <row r="22" spans="1:1" x14ac:dyDescent="0.3">
      <c r="A22" s="40" t="s">
        <v>263</v>
      </c>
    </row>
    <row r="23" spans="1:1" x14ac:dyDescent="0.3">
      <c r="A23" s="40" t="s">
        <v>264</v>
      </c>
    </row>
    <row r="24" spans="1:1" x14ac:dyDescent="0.3">
      <c r="A24" s="40" t="s">
        <v>265</v>
      </c>
    </row>
    <row r="25" spans="1:1" x14ac:dyDescent="0.3">
      <c r="A25" s="40" t="s">
        <v>266</v>
      </c>
    </row>
    <row r="26" spans="1:1" x14ac:dyDescent="0.3">
      <c r="A26" s="40" t="s">
        <v>267</v>
      </c>
    </row>
    <row r="27" spans="1:1" x14ac:dyDescent="0.3">
      <c r="A27" s="40" t="s">
        <v>268</v>
      </c>
    </row>
    <row r="28" spans="1:1" x14ac:dyDescent="0.3">
      <c r="A28" s="40" t="s">
        <v>269</v>
      </c>
    </row>
    <row r="29" spans="1:1" x14ac:dyDescent="0.3">
      <c r="A29" s="40" t="s">
        <v>270</v>
      </c>
    </row>
    <row r="30" spans="1:1" x14ac:dyDescent="0.3">
      <c r="A30" s="40" t="s">
        <v>271</v>
      </c>
    </row>
    <row r="31" spans="1:1" x14ac:dyDescent="0.3">
      <c r="A31" s="40" t="s">
        <v>272</v>
      </c>
    </row>
    <row r="32" spans="1:1" x14ac:dyDescent="0.3">
      <c r="A32" s="40" t="s">
        <v>273</v>
      </c>
    </row>
    <row r="33" spans="1:1" x14ac:dyDescent="0.3">
      <c r="A33" s="40" t="s">
        <v>274</v>
      </c>
    </row>
    <row r="34" spans="1:1" x14ac:dyDescent="0.3">
      <c r="A34" s="40" t="s">
        <v>275</v>
      </c>
    </row>
    <row r="35" spans="1:1" x14ac:dyDescent="0.3">
      <c r="A35" s="40"/>
    </row>
    <row r="36" spans="1:1" x14ac:dyDescent="0.3">
      <c r="A36" s="40" t="s">
        <v>276</v>
      </c>
    </row>
    <row r="37" spans="1:1" x14ac:dyDescent="0.3">
      <c r="A37" s="40" t="s">
        <v>277</v>
      </c>
    </row>
    <row r="38" spans="1:1" x14ac:dyDescent="0.3">
      <c r="A38" s="40" t="s">
        <v>278</v>
      </c>
    </row>
    <row r="39" spans="1:1" x14ac:dyDescent="0.3">
      <c r="A39" s="40" t="s">
        <v>279</v>
      </c>
    </row>
    <row r="40" spans="1:1" x14ac:dyDescent="0.3">
      <c r="A40" s="40" t="s">
        <v>280</v>
      </c>
    </row>
    <row r="41" spans="1:1" x14ac:dyDescent="0.3">
      <c r="A41" s="40" t="s">
        <v>281</v>
      </c>
    </row>
    <row r="42" spans="1:1" x14ac:dyDescent="0.3">
      <c r="A42" s="40" t="s">
        <v>282</v>
      </c>
    </row>
    <row r="43" spans="1:1" x14ac:dyDescent="0.3">
      <c r="A43" s="40" t="s">
        <v>283</v>
      </c>
    </row>
    <row r="44" spans="1:1" x14ac:dyDescent="0.3">
      <c r="A44" s="40" t="s">
        <v>284</v>
      </c>
    </row>
    <row r="45" spans="1:1" x14ac:dyDescent="0.3">
      <c r="A45" s="40" t="s">
        <v>285</v>
      </c>
    </row>
    <row r="46" spans="1:1" x14ac:dyDescent="0.3">
      <c r="A46" s="40" t="s">
        <v>286</v>
      </c>
    </row>
    <row r="47" spans="1:1" x14ac:dyDescent="0.3">
      <c r="A47" s="40" t="s">
        <v>287</v>
      </c>
    </row>
    <row r="48" spans="1:1" x14ac:dyDescent="0.3">
      <c r="A48" s="40" t="s">
        <v>288</v>
      </c>
    </row>
    <row r="49" spans="1:1" x14ac:dyDescent="0.3">
      <c r="A49" s="40" t="s">
        <v>289</v>
      </c>
    </row>
    <row r="50" spans="1:1" x14ac:dyDescent="0.3">
      <c r="A50" s="40" t="s">
        <v>290</v>
      </c>
    </row>
    <row r="51" spans="1:1" x14ac:dyDescent="0.3">
      <c r="A51" s="40" t="s">
        <v>275</v>
      </c>
    </row>
    <row r="52" spans="1:1" x14ac:dyDescent="0.3">
      <c r="A52" s="40"/>
    </row>
    <row r="53" spans="1:1" x14ac:dyDescent="0.3">
      <c r="A53" s="40" t="s">
        <v>291</v>
      </c>
    </row>
    <row r="54" spans="1:1" x14ac:dyDescent="0.3">
      <c r="A54" s="40" t="s">
        <v>292</v>
      </c>
    </row>
    <row r="55" spans="1:1" x14ac:dyDescent="0.3">
      <c r="A55" s="40" t="s">
        <v>293</v>
      </c>
    </row>
    <row r="56" spans="1:1" x14ac:dyDescent="0.3">
      <c r="A56" s="40" t="s">
        <v>294</v>
      </c>
    </row>
    <row r="57" spans="1:1" x14ac:dyDescent="0.3">
      <c r="A57" s="40"/>
    </row>
    <row r="58" spans="1:1" x14ac:dyDescent="0.3">
      <c r="A58" s="40" t="s">
        <v>295</v>
      </c>
    </row>
    <row r="59" spans="1:1" x14ac:dyDescent="0.3">
      <c r="A59" s="40" t="s">
        <v>296</v>
      </c>
    </row>
    <row r="60" spans="1:1" x14ac:dyDescent="0.3">
      <c r="A60" s="40" t="s">
        <v>297</v>
      </c>
    </row>
    <row r="61" spans="1:1" x14ac:dyDescent="0.3">
      <c r="A61" s="40"/>
    </row>
    <row r="62" spans="1:1" x14ac:dyDescent="0.3">
      <c r="A62" s="40" t="s">
        <v>298</v>
      </c>
    </row>
    <row r="63" spans="1:1" x14ac:dyDescent="0.3">
      <c r="A63" s="40" t="s">
        <v>299</v>
      </c>
    </row>
    <row r="64" spans="1:1" x14ac:dyDescent="0.3">
      <c r="A64" s="40" t="s">
        <v>300</v>
      </c>
    </row>
    <row r="65" spans="1:1" x14ac:dyDescent="0.3">
      <c r="A65" s="40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4"/>
  <sheetViews>
    <sheetView workbookViewId="0"/>
  </sheetViews>
  <sheetFormatPr defaultRowHeight="14.4" x14ac:dyDescent="0.3"/>
  <cols>
    <col min="1" max="1" width="5" customWidth="1"/>
    <col min="2" max="2" width="34" customWidth="1"/>
    <col min="3" max="3" width="40" customWidth="1"/>
    <col min="4" max="4" width="52" customWidth="1"/>
  </cols>
  <sheetData>
    <row r="1" spans="1:4" ht="17.399999999999999" x14ac:dyDescent="0.3">
      <c r="A1" s="1" t="s">
        <v>301</v>
      </c>
    </row>
    <row r="2" spans="1:4" x14ac:dyDescent="0.3">
      <c r="A2" s="2" t="s">
        <v>302</v>
      </c>
    </row>
    <row r="4" spans="1:4" ht="30" customHeight="1" x14ac:dyDescent="0.3">
      <c r="A4" s="6" t="s">
        <v>34</v>
      </c>
      <c r="B4" s="6" t="s">
        <v>303</v>
      </c>
      <c r="C4" s="6" t="s">
        <v>304</v>
      </c>
      <c r="D4" s="6" t="s">
        <v>305</v>
      </c>
    </row>
    <row r="5" spans="1:4" ht="49.95" customHeight="1" x14ac:dyDescent="0.3">
      <c r="A5" s="33">
        <v>1</v>
      </c>
      <c r="B5" s="34" t="s">
        <v>306</v>
      </c>
      <c r="C5" s="41" t="s">
        <v>307</v>
      </c>
      <c r="D5" s="33" t="s">
        <v>308</v>
      </c>
    </row>
    <row r="6" spans="1:4" ht="49.95" customHeight="1" x14ac:dyDescent="0.3">
      <c r="A6" s="33">
        <v>2</v>
      </c>
      <c r="B6" s="34" t="s">
        <v>309</v>
      </c>
      <c r="C6" s="41" t="s">
        <v>310</v>
      </c>
      <c r="D6" s="33" t="s">
        <v>311</v>
      </c>
    </row>
    <row r="7" spans="1:4" ht="49.95" customHeight="1" x14ac:dyDescent="0.3">
      <c r="A7" s="33">
        <v>3</v>
      </c>
      <c r="B7" s="34" t="s">
        <v>312</v>
      </c>
      <c r="C7" s="41" t="s">
        <v>313</v>
      </c>
      <c r="D7" s="33" t="s">
        <v>314</v>
      </c>
    </row>
    <row r="8" spans="1:4" ht="49.95" customHeight="1" x14ac:dyDescent="0.3">
      <c r="A8" s="33">
        <v>4</v>
      </c>
      <c r="B8" s="34" t="s">
        <v>315</v>
      </c>
      <c r="C8" s="41" t="s">
        <v>316</v>
      </c>
      <c r="D8" s="33" t="s">
        <v>317</v>
      </c>
    </row>
    <row r="9" spans="1:4" ht="49.95" customHeight="1" x14ac:dyDescent="0.3">
      <c r="A9" s="33">
        <v>5</v>
      </c>
      <c r="B9" s="34" t="s">
        <v>318</v>
      </c>
      <c r="C9" s="41" t="s">
        <v>319</v>
      </c>
      <c r="D9" s="33" t="s">
        <v>320</v>
      </c>
    </row>
    <row r="11" spans="1:4" x14ac:dyDescent="0.3">
      <c r="A11" s="42" t="s">
        <v>321</v>
      </c>
    </row>
    <row r="13" spans="1:4" x14ac:dyDescent="0.3">
      <c r="A13" s="43" t="s">
        <v>322</v>
      </c>
    </row>
    <row r="14" spans="1:4" ht="409.6" x14ac:dyDescent="0.3">
      <c r="A14" s="44" t="s">
        <v>323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7</vt:i4>
      </vt:variant>
    </vt:vector>
  </HeadingPairs>
  <TitlesOfParts>
    <vt:vector size="7" baseType="lpstr">
      <vt:lpstr>ภาพรวม</vt:lpstr>
      <vt:lpstr>Data Dictionary</vt:lpstr>
      <vt:lpstr>ข้อควรระวัง</vt:lpstr>
      <vt:lpstr>รายชื่อร้าน</vt:lpstr>
      <vt:lpstr>ค่าที่เป็นไปได้</vt:lpstr>
      <vt:lpstr>คีย์และ schema</vt:lpstr>
      <vt:lpstr>คำตอบจากฝั่งฐานข้อมูล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ธาดา ประสพนิล</cp:lastModifiedBy>
  <dcterms:created xsi:type="dcterms:W3CDTF">2026-08-10T10:58:12Z</dcterms:created>
  <dcterms:modified xsi:type="dcterms:W3CDTF">2026-08-10T10:58:14Z</dcterms:modified>
</cp:coreProperties>
</file>